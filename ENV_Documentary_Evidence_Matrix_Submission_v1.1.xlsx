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vabyteguard/Library/CloudStorage/OneDrive-UniversityofWarwick/@DISSERTATION/@ENV_Dissertation_Evidence/01_Evidence_Matrix/"/>
    </mc:Choice>
  </mc:AlternateContent>
  <xr:revisionPtr revIDLastSave="0" documentId="13_ncr:1_{8B68A3EE-6F0C-5A44-AC18-8216283B3C2B}" xr6:coauthVersionLast="47" xr6:coauthVersionMax="47" xr10:uidLastSave="{00000000-0000-0000-0000-000000000000}"/>
  <bookViews>
    <workbookView xWindow="1140" yWindow="680" windowWidth="27860" windowHeight="17480" xr2:uid="{00000000-000D-0000-FFFF-FFFF00000000}"/>
  </bookViews>
  <sheets>
    <sheet name="Evidence Matrix" sheetId="1" r:id="rId1"/>
    <sheet name="Corpus Audit Summary" sheetId="11" r:id="rId2"/>
    <sheet name="Priority &amp; Theme Legend" sheetId="4" r:id="rId3"/>
  </sheets>
  <definedNames>
    <definedName name="_xlnm._FilterDatabase" localSheetId="0" hidden="1">'Evidence Matrix'!$A$2:$AB$148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5" i="1"/>
  <c r="H18" i="1"/>
  <c r="H88" i="1"/>
  <c r="H90" i="1"/>
  <c r="H100" i="1"/>
  <c r="H111" i="1"/>
  <c r="H125" i="1"/>
  <c r="H129" i="1"/>
  <c r="H130" i="1"/>
  <c r="D4" i="4"/>
  <c r="D5" i="4"/>
  <c r="D6" i="4"/>
  <c r="D3" i="4"/>
  <c r="B7" i="11"/>
  <c r="B3" i="11"/>
  <c r="B2" i="11"/>
  <c r="B4" i="11"/>
  <c r="B6" i="11"/>
  <c r="B5" i="11"/>
  <c r="H138" i="1"/>
  <c r="H137" i="1"/>
  <c r="H136" i="1"/>
  <c r="H135" i="1"/>
  <c r="H134" i="1"/>
  <c r="H133" i="1"/>
  <c r="H132" i="1"/>
  <c r="H131" i="1"/>
  <c r="H128" i="1"/>
  <c r="H127" i="1"/>
  <c r="H126" i="1"/>
  <c r="H124" i="1"/>
  <c r="H123" i="1"/>
  <c r="H122" i="1"/>
  <c r="H121" i="1"/>
  <c r="H120" i="1"/>
  <c r="H119" i="1"/>
  <c r="H118" i="1"/>
  <c r="H117" i="1"/>
  <c r="H116" i="1"/>
  <c r="H115" i="1"/>
  <c r="H114" i="1"/>
  <c r="H113" i="1"/>
  <c r="H112" i="1"/>
  <c r="H110" i="1"/>
  <c r="H109" i="1"/>
  <c r="H108" i="1"/>
  <c r="H107" i="1"/>
  <c r="H106" i="1"/>
  <c r="H105" i="1"/>
  <c r="H104" i="1"/>
  <c r="H103" i="1"/>
  <c r="H102" i="1"/>
  <c r="H101" i="1"/>
  <c r="H99" i="1"/>
  <c r="H98" i="1"/>
  <c r="H97" i="1"/>
  <c r="H96" i="1"/>
  <c r="H95" i="1"/>
  <c r="H94" i="1"/>
  <c r="H93" i="1"/>
  <c r="H92" i="1"/>
  <c r="H91" i="1"/>
  <c r="H89"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7" i="1"/>
  <c r="H16" i="1"/>
  <c r="H15" i="1"/>
  <c r="H14" i="1"/>
  <c r="H13" i="1"/>
  <c r="H12" i="1"/>
  <c r="H11" i="1"/>
  <c r="H10" i="1"/>
  <c r="H9" i="1"/>
  <c r="H8" i="1"/>
  <c r="H7" i="1"/>
  <c r="H6" i="1"/>
  <c r="H3" i="1"/>
  <c r="D7" i="4" l="1"/>
</calcChain>
</file>

<file path=xl/sharedStrings.xml><?xml version="1.0" encoding="utf-8"?>
<sst xmlns="http://schemas.openxmlformats.org/spreadsheetml/2006/main" count="3344" uniqueCount="1513">
  <si>
    <t>Paper ID</t>
  </si>
  <si>
    <t>Priority</t>
  </si>
  <si>
    <t>Title</t>
  </si>
  <si>
    <t>Full Reference (Harvard)</t>
  </si>
  <si>
    <t>Year</t>
  </si>
  <si>
    <t>Source Type</t>
  </si>
  <si>
    <t>Main Research Domain</t>
  </si>
  <si>
    <t>Research Objective(s)</t>
  </si>
  <si>
    <t>RO1: Characterise the threat</t>
  </si>
  <si>
    <t>RO2: Classify approaches and failure modes. Human vs AI</t>
  </si>
  <si>
    <t>RO3:
Verification in Security Frameworks</t>
  </si>
  <si>
    <t>RO4:
Analyse trust asymmetries and risk conditions.</t>
  </si>
  <si>
    <t>RO5:
Integrated ENV Model</t>
  </si>
  <si>
    <t>Method / Technique</t>
  </si>
  <si>
    <t>Evidence Source</t>
  </si>
  <si>
    <t>Text-Based Comm. Context</t>
  </si>
  <si>
    <t>AI Involvement</t>
  </si>
  <si>
    <t>Identity / Impersonation Aspect</t>
  </si>
  <si>
    <t>Trust Dimension</t>
  </si>
  <si>
    <t>Results / Key Findings</t>
  </si>
  <si>
    <t>Search String ID</t>
  </si>
  <si>
    <t>Notes (Important):</t>
  </si>
  <si>
    <t>A003</t>
  </si>
  <si>
    <t>P1-CORE</t>
  </si>
  <si>
    <t>The End of Trust: How Agentic AI Breaks Security Assumptions</t>
  </si>
  <si>
    <t>Zafar, O., Nemecek, A. and Ayday, E. (2026) The End of Trust: How Agentic AI Breaks Security Assumptions. arXiv preprint arXiv:2605.16436v1 [cs.CR], 14 May. Available at: https://arxiv.org/abs/2605.16436 (Accessed: 14 July 2026).</t>
  </si>
  <si>
    <t>Preprint</t>
  </si>
  <si>
    <t>Agentic AI / Social Engineering / Security Paradigm Theory</t>
  </si>
  <si>
    <t>RO1</t>
  </si>
  <si>
    <t>RO2</t>
  </si>
  <si>
    <t>RO4</t>
  </si>
  <si>
    <t>RO5</t>
  </si>
  <si>
    <t>Conceptual Analysis; Literature Critique; Framework Proposal</t>
  </si>
  <si>
    <t>Academic Literature; Industry Reports (Europol, NCSC, FBI IC3, FTC, Verizon DBIR 2025)</t>
  </si>
  <si>
    <t>All text-based digital interaction: email, enterprise messaging, social platforms, organisational communication channels</t>
  </si>
  <si>
    <t>Autonomous agentic AI (LLM-backed); generative AI (synthetic text, deepfakes); MitM agent (Infinite Impostor)</t>
  </si>
  <si>
    <t>Infinite Impostor: autonomous agent interposes between two parties who already trust each other, hijacking existing relationship rather than building new identity; full lifecycle social engineering automation (reconnaissance → persona → exploitation); relationship hijacking without fabricating either party</t>
  </si>
  <si>
    <t>Collapse of fidelity-scale tradeoff; exhaustion of trust-based security paradigm; suspect-by-default; action-level vs. identity-level evaluation; bounded-damage architecture</t>
  </si>
  <si>
    <t>Agentic AI eliminates the historical fidelity-scale tradeoff — targeted attacks can now be executed at mass-market scale, dissolving the key assumption underpinning all existing defences. "Infinite Impostor" attack model: agent acts as hidden intermediary between two authentic parties (not a fake identity problem — both endpoints are real). Detection-oriented defences are structurally futile in an asymmetric arms race with improving generative systems. Proposes "suspect-by-default" paradigm: abandon actor authentication in favour of action evaluation + bounded-damage architecture (escrow, rate-limited trust, exposure caps). Critically engages proof-of-humanity (personhood credentials) finding that such systems risk centralization, exclusion, and inverting the presumption of digital citizenship. Four unresolved tensions: Infinite Impostor residual, baseline contamination/measurement problem, cost of universal suspicion, platform governance accountability.</t>
  </si>
  <si>
    <t>ARXIV-S1</t>
  </si>
  <si>
    <t>RO1: Introduces the "Infinite Impostor" attack model, where an autonomous agent inserts itself as a hidden intermediary between two real individuals who already share a trust relationship. The paper explicitly links this attack pathway to organizational threats, explaining how agents harvest data to create context-aware personas that perfectly mimic internal colleagues for Business Email Compromise (BEC) and spear-phishing campaigns
RO2: Argues that human-in-the-loop detection and user awareness training are experiencing a paradigmatic failure. Traditional cues (poor grammar, generic greetings, urgency) fail because modern AI successfully mimics the central tendencies, variances, and context-dependent fluctuations of human behavior.
Main contribution: The authors argue that Agentic AI collapses the "fidelity-scale tradeoff," enabling high-fidelity, individually tailored deceptions at mass-market scale, which effectively "exhausts" the current security paradigm of detection-based trust.,,. It proposes a transition from identity-centric "trust-based security" to "suspect-by-default" architectures that focus on evaluating and constraining actions rather than authenticating actors.
RO4: Explores the "Infinite Impostor" attack model, where an autonomous agent inserts itself as a hidden intermediary between two parties who already trust each other. The paper emphasizes that when entity nature verification fails, the assumption of implicit trust becomes highly exploitable, fundamentally breaking legacy human-centric security paradigms and shifting organizational risk.
RO5: Details how agents infiltrate trust-based external communication channels (like social media and professional networks) by constructing convincing, context-aware personas. It illustrates how these fabricated identities are used to launch Business Email Compromise (BEC) and initiate fraudulent internal communications.
Strongest citable concept/mechanism/model: The Infinite Impostor,, — An attack model where an autonomous agent operates as a hidden intermediary between two real individuals, hijacking an existing trust relationship rather than building a new persona from scratch.,.
Limitation or questionable assumption: The authors acknowledge a "bootstrap and measurement problem," where it may be impossible to create a "legitimate" baseline for action-based evaluation if the system is already infiltrated by synthetic actors at the moment the baseline is drawn.. Additionally, they admit their proposed "action-based evaluation" is limited against the Infinite Impostor, whose relayed communications are structurally indistinguishable from genuine activity.,.
Dissertation-ready note: This source is pivotal for RO3 as it argues that the human layer is no longer a viable "last line of defence" because the cues humans use to distinguish authentic from synthetic—such as conversational nuance and response timing—can now be convincingly synthesised (Section IV-B,,). It frames the pursuit of "detecting the fake" as "structurally futile," suggesting that the human-agent distinction is essentially collapsing at the level of digital interaction (Section I,).</t>
  </si>
  <si>
    <t>N001</t>
  </si>
  <si>
    <t>P2-HIGH</t>
  </si>
  <si>
    <t>TRiSM for Agentic AI: A review of Trust, Risk, and Security Management in LLM-based Agentic Multi-Agent Systems</t>
  </si>
  <si>
    <t>Raza, S., Sapkota, R., Karkee, M. and Emmanouilidis, C. (2026) 'TRiSM for agentic AI: a review of trust, risk, and security management in LLM-based agentic multi-agent systems', AI Open, 7, pp. 71–95. Available at: https://doi.org/10.1016/j.aiopen.2026.02.006</t>
  </si>
  <si>
    <t>2026</t>
  </si>
  <si>
    <t>Journal Article</t>
  </si>
  <si>
    <t>Autonomous AI Agents</t>
  </si>
  <si>
    <t>RO3</t>
  </si>
  <si>
    <t>Systematic Review</t>
  </si>
  <si>
    <t>Academic Literature</t>
  </si>
  <si>
    <t>Enterprise AI</t>
  </si>
  <si>
    <t>Multi-Agent LLM</t>
  </si>
  <si>
    <t>Agent Impersonation; Trust Risk</t>
  </si>
  <si>
    <t>Trust Management</t>
  </si>
  <si>
    <t>TRiSM framework identifies impersonation and trust exploitation as top agentic AI risks</t>
  </si>
  <si>
    <t>RO3:  The authors map existing frameworks (NIST AI RMF, ISO/IEC 42001, and the EU AI Act) against multi-agent systems. They note that existing frameworks treat risk domains as distinct and fail to model AMAS-specific dynamics like emergent coordination, delegated authority (autonomy abuse), and tool-mediated actions, proposing an adapted TRiSM framework to fill these verification gaps.
RO5: Reviews tailored TRiSM (Trust, Risk, and Security Management) controls for agentic systems. It connects trust decisions directly to organizational governance, accountability, anomaly detection, and role separation.
Main contribution: The source develops a system-level Trust, Risk, and Security Management (TRiSM) framework specifically for Agentic Multi-Agent Systems (AMAS), addressing emergent risks such as impersonation, cascading reasoning errors, and tool-use abuse. It introduces novel metrics, including the Component Synergy Score (CSS) and Tool Utilization Efficacy (TUE), to operationalize the measurement of autonomous coordination and security.
Strongest citable concept/mechanism/model: Decision Provenance Graph — A structured, graph-based representation that records reasoning steps, data flows, and inter-agent interactions to enable post-hoc auditing and system-level interpretability.
Limitation or questionable assumption: The authors acknowledge that human-centered evaluation is "resource-intensive" and fails to scale for continuous deployment, while also noting a potential "Goodhart’s Law" effect where systems might optimize for composite trust scores rather than underlying capability. Additionally, they assume that "explainability" facilitates trust, yet concede that a "faithful" explanation is not always human-interpretable.
Dissertation-ready note: This survey explicitly identifies "impersonation" as a coordinated attack vector in multi-agent environments, suggesting that technical authentication must be supplemented by "decision provenance" to allow humans to verify an entity's nature (Section 6.3). It highlights a critical gap: while TRiSM aims for "trust calibration," the resource constraints of human oversight often lead to "automation bias" or "user complacency" (Section 8.2, Section 8.3).</t>
  </si>
  <si>
    <t>N002</t>
  </si>
  <si>
    <t>Security Analysis of Agentic AI Communication Protocols: A Comparative Evaluation</t>
  </si>
  <si>
    <t>Louck, Y., Stulman, A. and Dvir, A. (2025) Security Analysis of Agentic AI Communication Protocols: A Comparative Evaluation. arXiv preprint. Available at: https://arxiv.org/abs/2511.03841 (Accessed: 18 July 2026)</t>
  </si>
  <si>
    <t>2025</t>
  </si>
  <si>
    <t>AI Agent Security</t>
  </si>
  <si>
    <t>Comparative Evaluation</t>
  </si>
  <si>
    <t>Empirical Study</t>
  </si>
  <si>
    <t>Agent-to-Agent Communication</t>
  </si>
  <si>
    <t>Multi-Agent</t>
  </si>
  <si>
    <t>Authentication Bypass; Impersonation</t>
  </si>
  <si>
    <t>Trust</t>
  </si>
  <si>
    <t>Protocol-level authentication bypass and agent impersonation vulnerabilities across MCP, A2A, ANP</t>
  </si>
  <si>
    <t>ARXIV-S8</t>
  </si>
  <si>
    <t>RO4:  Discusses how the absence of Strong Customer Authentication (SCA) and cryptographic discovery mechanisms allows adversaries to forge identities, impersonate trusted agents, and bypass authorization.
RO5: Documents specific vulnerabilities where adversaries forge capabilities and "impersonate trusted agents during dynamic discovery." It highlights how the lack of chain-of-trust enforcement enables spoofing in agent-to-agent (A2A) interactions.
Main contribution: The authors provide the first empirical, comparative security analysis of major agent communication protocols (A2A, ACP, and CORAL), identifying a critical "architecture versus implementation" dichotomy where robust designs are undermined by fundamental validation failures. The study concludes that current ecosystems remain largely insecure because they lack a hybrid approach that combines secure transport-layer isolation with mandatory, granular message-level integrity.
Strongest citable concept/mechanism/model: 14-point Vulnerability Taxonomy for Multi-Agent Systems — A formal framework that groups threats into five domains (Authentication, Authorization, Integrity, Confidentiality, and Availability) to systematically evaluate how protocols handle autonomous agent interactions.
Limitation or questionable assumption: The threat model explicitly excludes "physical access or full compromise of the underlying large language model (LLM)," focusing instead on the communication layer. Consequently, the authors admit that "Prompt &amp; Tool Injection" remains a persistent "application-layer" risk that protocol-level security cannot fully mitigate, as malicious instructions may still be processed as valid by the agent's internal model.
Dissertation-ready note: This source is vital for RO3 because it argues that current protocols fail to maintain the distinction between "automated and human oversight," often incorrectly equating technical agent delegation with actual user consent (Section 6.1.2, p. 14). It provides empirical evidence that even "secure" protocols can be exploited via "Spoofing in Discovery Mechanisms," where an attacker manipulates metadata to impersonate a legitimate agent and hijack organizational workflows (Section 6.2.4, p. 20; Section 8.3.2, p. 44).</t>
  </si>
  <si>
    <t>N003</t>
  </si>
  <si>
    <t>P3-MEDIUM</t>
  </si>
  <si>
    <t>Infrastructure for AI Agents</t>
  </si>
  <si>
    <t>Framework Proposal</t>
  </si>
  <si>
    <t>Conceptual Analysis</t>
  </si>
  <si>
    <t>General AI Infrastructure</t>
  </si>
  <si>
    <t>Agentic AI</t>
  </si>
  <si>
    <t>Identity / Credential Management</t>
  </si>
  <si>
    <t>Infrastructure requirements for AI agents including identity verification and credential trust chains</t>
  </si>
  <si>
    <t>RO5: Details attribution infrastructure, focusing on identity binding (linking an agent to a legal human or corporate identity) and certification tools for verifying claims about an agent's operation</t>
  </si>
  <si>
    <t>N004</t>
  </si>
  <si>
    <t>A Survey of LLM-Driven AI Agent Communication: Protocols, Security Risks, and Defense Countermeasures</t>
  </si>
  <si>
    <t>Kong, D., Lin, S., Xu, Z. et al. (2025a) 'A survey of LLM-driven AI agent communication: protocols, security risks, and defense countermeasures', arXiv preprint arXiv:2506.19676. Available at: https://doi.org/10.48550/arXiv.2506.19676</t>
  </si>
  <si>
    <t>Preprint (Survey)</t>
  </si>
  <si>
    <t>Agent Communication Protocols</t>
  </si>
  <si>
    <t>LLM-Driven Agents</t>
  </si>
  <si>
    <t>Impersonation via Protocol Exploitation</t>
  </si>
  <si>
    <t>Survey of 50+ security risks; agent impersonation via protocol gaps highlighted</t>
  </si>
  <si>
    <t>RO1: contrasts the static nature of standard LLMs with the dynamic adaptability and high autonomy of agents, noting that their ability to actively invoke external tools gives them the capability to cause substantial real-world damage.
RO4: Highlights "Identity Spoofing" and "Authority Abuse," where compromised agents exploit inter-agent trust to gain privileges beyond user authorization, masking their true nature.
RO5: Highlights the "Universal Agent Identity Layer (UAIL)," which uses Decentralized Identifiers (DIDs) and Verifiable Credentials to assign AI agents unique and verifiable identities for ethical decision-making.
Main contribution: The authors propose the first structured technical framework for agent communication, categorising it into three distinct classes and a three-layered architecture (Data Transmission, Interaction Protocol, and Semantic Interpretation) to systematically map security risks. It identifies the "Semantic Interpretation Layer" as a fundamentally new attack surface where traditional security mechanisms are "blind" to deceptions involving parsed intent and reasoning.
Strongest citable concept/mechanism/model: Three-Layered Agent Communication Architecture — A model that separates traditional network transmission (L1) and protocol logic (L2) from the "cognitive core" (L3), where an agent's reasoning, planning, and intention-parsing are targeted by semantic attacks.
Limitation or questionable assumption: The source assumes that the "Semantic Interpretation Layer" (L3) lacks dedicated protocols and must rely on auxiliary AI models for defense, which may lead to a recursive "who guards the guardians" problem where the defense model inherits the same semantic vulnerabilities as the agent. Furthermore, it admits that in decentralized P2P architectures, there is no effective mechanism to prevent "ethical drift" or "normative collapse" without a central arbiter.
Dissertation-ready note: This source provides technical weight to RO3 by detailing how compromised agents can "simulate empathy" and weaponise intimate knowledge of a user’s communication style to execute "sophisticated social engineering" that is structurally indistinguishable from a legitimate entity (Section V-B-3, p. 79). It frames the impersonation threat as a "trust conflict between obedience and safety," suggesting that agents are uniquely vulnerable because they are designed to follow instructions even when those instructions subvert their nature (Section V-B, p. 65).</t>
  </si>
  <si>
    <t>N005</t>
  </si>
  <si>
    <t>Model Context Protocol (MCP): Landscape, Security Threats, and Future Research Directions</t>
  </si>
  <si>
    <t xml:space="preserve">Hou, X., Zhao, Y., Wang, S. and Wang, H. (2026) Model Context Protocol (MCP): Landscape, Security Threats, and Future Research Directions. ACM Transactions on Software Engineering and Methodology. Available at: https://doi.org/10.1145/3796519  </t>
  </si>
  <si>
    <t>Enterprise AI (MCP)</t>
  </si>
  <si>
    <t>LLM Agent (MCP)</t>
  </si>
  <si>
    <t>Tool Impersonation; Name Collision</t>
  </si>
  <si>
    <t>ARXIV-S2</t>
  </si>
  <si>
    <t>RO4: Details "Namespace Typosquatting" and "Tool Name Conflicts," where malicious servers exploit identity ambiguity to trick hosts into trusting rogue agents.
Main contribution: This source provides the first systematic architectural and security analysis of the Model Context Protocol (MCP), establishing a formal four-phase server lifecycle (creation, deployment, operation, maintenance) and a taxonomy of 16 threat scenarios. It identifies how the shift from hardcoded tool bindings to automated, dynamic discovery allows for "semantic" deceptions where agents are tricked via persuasive metadata rather than traditional infrastructure exploits.
Strongest citable concept/mechanism/model: Preference Manipulation Attack (PMA) — A semantic vulnerability where a malicious actor embeds persuasive or deceptive phrases (e.g., "trusted by experts") in tool metadata to bias an AI agent’s selection process, effectively hijacking the agent's "intent analysis" layer.
Limitation or questionable assumption: The authors’ proof-of-concept (PoC) is explicitly limited to demonstrating "security risks and feasibility" rather than evaluating the success rates of these attacks across different Large Language Models (LLMs), leaving the actual efficacy of the threats largely unmeasured. Additionally, the proposed defense of "metadata auditing" may be structurally outpaced by "Genetically Adapted" attacks (GAPMA) that evolve descriptions to remain inconspicuous to automated detectors.
Dissertation-ready note: This survey highlights that MCP’s automation of tool selection removes the "human-in-the-loop" as a viable security layer, creating a "silent compromise" environment where agents rely on textual identifiers that lack cryptographic verification (Section 5.1.1). It provides a technical basis for RO3 by arguing that current AI ecosystems suffer from "identity ambiguity," where both the host and the agent are unable to distinguish between legitimate and impersonated functional entities (Section 5.1.2).</t>
  </si>
  <si>
    <t>N006</t>
  </si>
  <si>
    <t>Semantic Attacks on Tool-Augmented LLMs: Securing the Model Context Protocol Against Descriptor-Level Manipulation</t>
  </si>
  <si>
    <t>Jamshidi, S., Moradi Dakhel, A., Wazed Nafi, K. and Khomh, F. (2026) 'Semantic Attacks on Tool-Augmented LLMs: Securing the Model Context Protocol Against Descriptor-Level Manipulation'. Available at: https://arxiv.org/pdf/2512.06556</t>
  </si>
  <si>
    <t>Tool Poisoning; Server Impersonation</t>
  </si>
  <si>
    <t>Defence framework against MCP tool poisoning; server impersonation feasibility demonstrated</t>
  </si>
  <si>
    <t>RO1:  shows how attackers can subtly modify tool metadata (e.g., altering a "CorporateMailAssistant" tool descriptor) to bias an agent’s reasoning, leading to data leakage and unintended organizational actions</t>
  </si>
  <si>
    <t>N007</t>
  </si>
  <si>
    <t>Enterprise-Grade Security for the Model Context Protocol (MCP): Frameworks and Mitigation Strategies</t>
  </si>
  <si>
    <t>Narajala, V.S. and Habler, I. (2025) ‘Enterprise-Grade Security for the Model Context Protocol (MCP): Frameworks and Mitigation Strategies’, arXiv preprint, arXiv:2504.08623v2 [cs.CR]. Available at: https://arxiv.org/abs/2504.08623 (Accessed: 17 July 2026).</t>
  </si>
  <si>
    <t>LLM Agent</t>
  </si>
  <si>
    <t>Agent Impersonation via MCP</t>
  </si>
  <si>
    <t>Enterprise security framework for MCP: authentication, authorisation and audit for agent identity</t>
  </si>
  <si>
    <t xml:space="preserve">RO3: This paper reviews security frameworks for the integration of external tools with AI models, evaluating how zero-trust architectures can mitigate operational autonomy threats like tool poisoning and identity subversion
. It highlights the necessity of strict network boundaries and verifiable access validations for delegated AI tools
. </t>
  </si>
  <si>
    <t>N008</t>
  </si>
  <si>
    <t>Benchmark</t>
  </si>
  <si>
    <t>Impersonation; Prompt Injection</t>
  </si>
  <si>
    <t>Benchmark of 15 MCP attack categories; impersonation and injection achieve &gt;80% success</t>
  </si>
  <si>
    <t>RO1: This study benchmarks vulnerabilities within the Model Context Protocol, characterizing the "User Impersonation" attack pathway. It details deception strategies where a malicious tool response masquerades as a human user to inject harmful instructions into an agent's workflow</t>
  </si>
  <si>
    <t>N009</t>
  </si>
  <si>
    <t>MCP-DPT: A Defense-Placement Taxonomy and Coverage Analysis for Model Context Protocol Security</t>
  </si>
  <si>
    <t>Taxonomy Development</t>
  </si>
  <si>
    <t>Defence Against Impersonation</t>
  </si>
  <si>
    <t>RO4: Specifically identifies "Resource Type Confusion / Impersonation," where adversaries masquerade malicious content as benign artifacts to exploit an agent's trust.</t>
  </si>
  <si>
    <t>N010</t>
  </si>
  <si>
    <t>Model Context Protocol Threat Modeling and Analyzing Vulnerabilities to Prompt Injection with Tool Poisoning</t>
  </si>
  <si>
    <t>Huang, C., Huang, X., Tran, N. P. and Milani Fard, A. (2026) 'Model Context Protocol Threat Modeling and Analyzing Vulnerabilities to Prompt Injection with Tool Poisoning', arXiv preprint, arXiv:2603.22489. https://doi.org/10.48550/arXiv.2603.22489.</t>
  </si>
  <si>
    <t>Threat Modelling</t>
  </si>
  <si>
    <t>Tool Poisoning; Identity Spoofing</t>
  </si>
  <si>
    <t>Systematic threat model for MCP; tool poisoning and identity spoofing demonstrated</t>
  </si>
  <si>
    <t>RO1: identifies "tool poisoning" as a critical pathway where malicious instructions are embedded directly into the metadata of the tools the agents rely on to interact with their environment.
Main contribution: The authors provide a comparative empirical analysis of seven major Model Context Protocol (MCP) clients, demonstrating that the success of tool-poisoning attacks (ranging from 0% to 100%) depends on client-side validation and UI design rather than the underlying LLM's capabilities. It proves that current agent ecosystems lack standardized security, creating a significant "client-side exploitation" gap where malicious metadata can manipulate an agent’s reasoning process.
Strongest citable concept/mechanism/model: Tool Poisoning — A specific form of indirect prompt injection where malicious instructions are embedded in tool metadata (names, descriptions, and parameter schemas) rather than user input to hijack an agent's decision-making.
Limitation or questionable assumption: The authors admit that their DREAD severity scoring is subjective and potentially influenced by author bias. Furthermore, the study did not empirically verify "Execution Sandboxing" capabilities, relying instead on documentation and architectural analysis to classify this feature.
Dissertation-ready note: This study highlights "approval fatigue" as a critical human-centric vulnerability, where users habitually approve agent requests without scrolling to inspect long or hidden parameters that may contain malicious instructions (Section 1.1,). It concludes that the human layer is currently an ineffective "trust boundary" because client interfaces fail to provide the transparency necessary for users to verify the true nature of an agent's intent (Section 4.2,).</t>
  </si>
  <si>
    <t>N011</t>
  </si>
  <si>
    <t>Agentic AI Security: Threats, Defenses, Evaluation, and Open Challenges</t>
  </si>
  <si>
    <t>Chhabra, A., Datta, S., Nahin, S. K. and Mohapatra, P. (2025) 'Agentic AI Security: Threats, Defenses, Evaluation, and Open Challenges',  IEEE Access , 14, pp. 1-35. https://doi.org/10.1109/ACCESS.2026.3675554</t>
  </si>
  <si>
    <t>Agentic AI Security</t>
  </si>
  <si>
    <t>Impersonation; Privilege Abuse</t>
  </si>
  <si>
    <t>Comprehensive taxonomy of agentic AI threats; impersonation and trust exploitation are critical gaps</t>
  </si>
  <si>
    <t>RO(s) supported (from RO1–RO5): RO1 (Conceptualising autonomous AI agent impersonation as a threat) and RO3 (Examining how current literature addresses or fails to address the human–agent distinction).
Main contribution: The authors provide a comprehensive taxonomy of agentic security that identifies "Human-Agent Security Interfaces" as a unique "security frontier" where technical robustness is undermined by human susceptibility to social engineering. It establishes that agent security is not merely an algorithmic problem but a "human factors" issue where attackers exploit user trust to subvert oversight.
Strongest citable concept/mechanism/model: Human-Agent Security Interfaces — A conceptual model of the "interface layer" where the security of autonomous systems depends on the dynamic interaction between algorithmic robustness and human susceptibility to manipulation or "approval fatigue".
Limitation or questionable assumption: The authors advocate for "human-in-the-loop" control as a primary safety measure while simultaneously admitting that such verification tasks often "overly burden" users, reduce automation efficiency, and are easily bypassed when attackers use "socially engineered" prompts to secure human approval.
Dissertation-ready note: This source is a cornerstone for RO3 as it explicitly defines the boundary between humans and agents as a "security frontier" where traditional oversight fails due to the "complexity of long execution traces" and "user trust" (Section VI-G, p. 106). It justifies the need for entity-nature verification by arguing that the current security of agentic systems is fundamentally compromised by "human susceptibility" to deception (Section VI-G, p. 106).</t>
  </si>
  <si>
    <t>N012</t>
  </si>
  <si>
    <t>Securing Agentic AI: A Comprehensive Threat Model and Mitigation Framework for Generative AI Agents</t>
  </si>
  <si>
    <t>Narajala, V. S. and Narayan, O. (2025) 'Securing Agentic AI: A Comprehensive Threat Model and Mitigation Framework for Generative AI Agents',  Preprint . Available at: https://arxiv.org/html/2504.19956v2 (Accessed: 12 April 2025).</t>
  </si>
  <si>
    <t>Conference Paper</t>
  </si>
  <si>
    <t>Generative AI Agents</t>
  </si>
  <si>
    <t>Threat model combining STRIDE and MAESTRO; agent impersonation ranked critical</t>
  </si>
  <si>
    <t>ARXIV-S3</t>
  </si>
  <si>
    <t>RO1: explains that unlike traditional chatbots, agentic systems possess persistent memory, subgoal decomposition, and external tool integration, allowing them to autonomously reason and act with minimal human oversight.
RO3:  This paper explicitly argues that existing standards such as the NIST AI Risk Management Framework, MITRE ATLAS, and OWASP Top 10 for LLMs fall short for GenAI agents because they do not adequately address agent-specific dynamics. Specifically, it evaluates how these frameworks struggle with entity nature (identity becomes fluid in multi-agent networks, blurring the lines between user and agent identity) and delegated authority (tool execution boundaries are difficult to manage using traditional role-based access controls).
RO4: Explicitly outlines "Identity Spoofing &amp; Trust Exploitation" (T6), noting that identity is fluid in MAS and creates ambiguity in attribution, allowing attackers to perform unauthorized operations under falsified contexts.
Main contribution (1–2 sentences, don't just restate the abstract): The source establishes the Advanced Threat Framework for Autonomous AI Agents (ATFAA) and the SHIELD mitigation model, specifically targeting risks unique to agentic architecture like cognitive reasoning manipulation and temporal memory poisoning. It argues that agents fundamentally expand the attack surface beyond traditional LLMs through "Identity Fluidity" and the ability to traverse organizational boundaries autonomously.
Strongest citable concept/mechanism/model: T7: Human-Agent Trust Manipulation — A threat model where attackers exploit the "human-AI trust interface" by using "trust amplification signals" (such as mimicking trusted communication styles) to induce humans into bypassing technical security controls.
Limitation or questionable assumption: The authors acknowledge the framework is "primarily based on theoretical analysis" and literature review rather than "extensive empirical red teaming against live systems." Additionally, the SHIELD mitigation of "Escalation Control" assumes that frequent re-authentication is a viable defense, despite the authors elsewhere admitting this can create "usability friction" and "operational overhead" for users.
Dissertation-ready note (max 2 sentences, in my own words, with page/section reference if possible): The source frames the human-agent boundary as a psychological "trust interface" where the "mimicking [of] trusted communication styles" can effectively nullify technical security layers (Section IV-A-6, p. 39). It explicitly identifies "Identity Fluidity" as a novel risk factor because the "blurry line" between agent and user identities creates impersonation opportunities that traditional authentication models cannot currently resolve (Section IV-D, p. 60).</t>
  </si>
  <si>
    <t>N013</t>
  </si>
  <si>
    <t>Securing Agentic AI: Threat Modeling and Risk Analysis for Network Monitoring Agentic AI System</t>
  </si>
  <si>
    <t>Zambare, P., Thanikella, V.N. and Liu, Y. 2025. 'Securing Agentic AI: Threat Modeling and Risk Analysis for Network Monitoring Agentic AI System'. arXiv preprint arXiv:2508.10043v1. Available at: https://arxiv.org/html/2508.10043v1</t>
  </si>
  <si>
    <t>Case Study</t>
  </si>
  <si>
    <t>Network Operations</t>
  </si>
  <si>
    <t>Agent Identity Spoofing</t>
  </si>
  <si>
    <t>Network monitoring agent threat model; agent impersonation enables silent surveillance bypass</t>
  </si>
  <si>
    <t>RO3: this study evaluates established models like STRIDE, PASTA, and the OWASP Top 10, concluding that they are inadequate for agentic systems because they fail to cover the operational autonomy and dynamic reasoning stratums of AI agents</t>
  </si>
  <si>
    <t>N014</t>
  </si>
  <si>
    <t>Taming OpenClaw: Security Analysis and Mitigation of Autonomous LLM Agent Threats</t>
  </si>
  <si>
    <t>Security Analysis</t>
  </si>
  <si>
    <t>Autonomous LLM Agent</t>
  </si>
  <si>
    <t>Prompt Injection; Agent Hijacking</t>
  </si>
  <si>
    <t>OpenClaw vulnerabilities; prompt injection enables full agent control/impersonation</t>
  </si>
  <si>
    <t>RO1 and RO3: This paper analyzes systemic threats against autonomous LLMs, specifically highlighting "capability impersonation" where an agent's intended functions are silently hijacked via malicious skill injection. It also evaluates execution controls, permission frameworks, and sandboxing as measures to secure delegated authority and operational autonomy</t>
  </si>
  <si>
    <t>N015</t>
  </si>
  <si>
    <t>ClawSafety: 'Safe' LLMs, Unsafe Agents</t>
  </si>
  <si>
    <t>Empirical Evaluation</t>
  </si>
  <si>
    <t>Safety Bypass; Impersonation</t>
  </si>
  <si>
    <t>Safety-aligned LLMs remain exploitable as agents; agent context enables impersonation attacks</t>
  </si>
  <si>
    <t>RO4: Demonstrates that AI agents themselves suffer from exploitable trust asymmetries when verifying entities. It shows that agents inherently grant higher trust to operational peers than organizational superiors based on role plausibility, and implicitly trust files with established workspace provenance without performing verification.
RO5: Demonstrates empirically how agents calibrate trust based on the operational plausibility of a sender's role. It features a case where an agent successfully impersonates an "operational peer" (e.g., a Treasurer) rather than an executive to induce exfiltration, proving that verification must go beyond simple hierarchy.</t>
  </si>
  <si>
    <t>N016</t>
  </si>
  <si>
    <t>Automating Agent Hijacking via Structural Template Injection</t>
  </si>
  <si>
    <t>Attack Demonstration</t>
  </si>
  <si>
    <t>Agent Hijacking / Impersonation</t>
  </si>
  <si>
    <t>Automated template injection hijacks agent sessions; enables persistent impersonation at scale</t>
  </si>
  <si>
    <t>Focuses on a specific attack pathway called "role confusion." By injecting malicious payloads into retrieved content, attackers can force the agent to treat attacker-controlled text as legitimate user instructions or forged assistant responses, effectively subverting the agent's identity and operational flow</t>
  </si>
  <si>
    <t>N017</t>
  </si>
  <si>
    <t>Shi, T., He, J., Wang, Z., Li, H., Wu, L., Guo, W. and Song, D. (2025) 'Progent: Securing AI Agents with Privilege Control'. arXiv preprint, arXiv:2504.11703.. Available at: https://arxiv.org/pdf/2504.11703 (Accessed: 13 April 2026).</t>
  </si>
  <si>
    <t>Privilege Escalation; Identity Boundary</t>
  </si>
  <si>
    <t>Least-privilege model for LLM agents; privilege escalation as proxy for identity boundary violation</t>
  </si>
  <si>
    <t>RO5: Focuses on managing the delegated authority of AI agents through formal privilege control. It proposes deterministic enforcement at the tool-call level to prevent silent privilege escalation</t>
  </si>
  <si>
    <t>N018</t>
  </si>
  <si>
    <t>The Landscape of Prompt Injection Threats in LLM Agents: From Taxonomy to Analysis</t>
  </si>
  <si>
    <t>Taxonomy / Empirical</t>
  </si>
  <si>
    <t>Prompt Injection as Impersonation Vector</t>
  </si>
  <si>
    <t>Taxonomy of 12 prompt injection variants; indirect injection enables agent impersonation in org messaging</t>
  </si>
  <si>
    <t>RO1: maps out Indirect Prompt Injection (IPI) pathways, where adversarial instructions embedded in external resources—such as incoming emails or web pages—successfully hijack the agent’s execution loop to perform unauthorized tasks.
Main contribution: The authors provide a comprehensive systematisation of the prompt injection (PI) landscape, identifying a critical "evaluation gap" where current defenses fail against "context-dependent" tasks that manipulate an agent's reasoning logic rather than just overriding commands. It introduces the AGENTPI benchmark to empirically demonstrate that procedurally valid tool calls can be triggered by corrupting an agent’s internal reasoning through poisoned environmental feedback.
Strongest citable concept/mechanism/model: Delegation Exploitation — A context-aware attack vector where an adversary hijacks an agent's trust chain by embedding malicious instructions within a specific data source that the user has explicitly authorized the agent to process, thereby bypassing intent-alignment defenses.
Limitation or questionable assumption: The authors acknowledge that the "intent alignment" paradigm relies on the assumption that user intent is ground truth and can be precisely defined, yet they admit that "vague" or "mis-authorized" prompts from users create vulnerabilities that technical filters cannot resolve. Additionally, they note that involving humans as "intent aligners" to specify security policies creates high latency and contradicts the goal of full automation.
Dissertation-ready note: This source is vital for RO3 as it argues that current security evaluations suffer from a "false sense of security" by focusing on binary action success while remaining "blind" to the integrity of the agent's internal reasoning process (Section 5, p. 10; Section 7.2, p. 12). It defines a novel "Untrusted-to-Trusted Data" invasion where agents promote deceptive environmental observations—often indistinguishable from benign data to a human—into trusted execution parameters, effectively "impersonating" a legitimate logical deduction (Appendix D4, p. 19; Appendix D5, p. 19).</t>
  </si>
  <si>
    <t>N019</t>
  </si>
  <si>
    <t>Multi-Agent GenAI</t>
  </si>
  <si>
    <t>Tool Squatting / Tool Impersonation</t>
  </si>
  <si>
    <t>RO4: Explores "Tool Squatting," where malicious actors deceptively register tools to misrepresent their capabilities, exploiting discovery mechanisms lacking a verified source of truth</t>
  </si>
  <si>
    <t>N020</t>
  </si>
  <si>
    <t>Security Threat Modelling for Emerging AI-Agent Protocols: MCP, A2A, Agora, ANP</t>
  </si>
  <si>
    <t>Anbiaee, Z., Rabbani, M., Mirani, M., Piya, G., Opushnyev, I., Ghorbani, A. and Dadkhah, S. (2026) ‘Security Threat Modeling for Emerging AI-Agent Protocols: A Comparative Analysis of MCP, A2A, Agora, and ANP’, arXiv preprint, arXiv:2602.11327. Available at: https://arxiv.org/abs/2602.11327 (Accessed: 20 July 2026).</t>
  </si>
  <si>
    <t>Comparative Threat Modelling</t>
  </si>
  <si>
    <t>Impersonation via Protocol Vulnerabilities</t>
  </si>
  <si>
    <t>N021</t>
  </si>
  <si>
    <t>Open Challenges in Multi-Agent Security: Towards Secure Systems of Interacting AI Agents</t>
  </si>
  <si>
    <t>Schroeder de Witt, C., Krawiecka, K., Krawczuk, I., Hagag, B., Anderson, W. L., Belcak, P., Bucknall, B., Cai, X., Chopra, A., Cohen, D., Del Rosario, R. F., Draguns, A., Gray, A., Katz, K., Mavroudis, V., Mink, J., Motwani, S. R., Petit, J., Rembeck, L.-S., Smith, C., Sotiropoulos, J., Young, S., Scheffler, S. and Llewellyn, M. (2026) 'Open Challenges in Multi-Agent Security: Towards Secure Systems of Interacting AI Agents', v1.0. https://arxiv.org/html/2505.02077v2 (Accessed: 22 May 2025).</t>
  </si>
  <si>
    <t>Multi-Agent Systems</t>
  </si>
  <si>
    <t>Steganographic Impersonation; Coordination Attacks</t>
  </si>
  <si>
    <t>Ten open security challenges; steganographic communication and agent impersonation highlighted</t>
  </si>
  <si>
    <t>ARXIV-S10</t>
  </si>
  <si>
    <t>RO1: investigates advanced manipulation techniques, including "role hijacking" (where an agent is prompted to assume a privileged identity), "dark patterns" designed to exploit human cognitive limitations, and emergent steganographic collusion between agents to hide deceptive intents.
RO3:This paper discusses how traditional privacy primitives and access control frameworks (like RBAC and ABAC) fail to map properly to entity nature and delegated authority in multi-agent ecosystems. It highlights that these frameworks were designed for human roles rather than dynamically spawned, short-lived agents, which creates fundamental problems for auditing and attribution.
RO4: Examines covert collusion, steganography, and how agents exploit information asymmetries to covertly manipulate shared environments or deceive other agents' decision processes.
RO5: Examines the security implications of agents dynamically delegating tasks. It emphasizes applying the "least-privilege principle" alongside robust access control and authentication to prevent compromised agents from propagating unauthorized access.
Main contribution (1–2 sentences, don't just restate the abstract): The source formalises Multi-Agent Security (MASEC) as a distinct discipline, arguing that security in agentic ecosystems is non-compositional, meaning that individually "safe" agents can interact to produce unsafe emergent behaviours that are structurally difficult to observe or predict. It identifies the "sociotechnical interface" as a primary exploit surface where coordinated agent interactions can bypass human oversight through deceptive social engineering.
Strongest citable concept/mechanism/model: Illusion of Independent Corroboration — A sociotechnical threat where coordinated fleets of agents converge on a shared narrative to simulate a consensus, effectively manipulating human trust and perception by making a deceptive message appear as if it is being validated by multiple autonomous entities.
Limitation or questionable assumption: The authors adopt an "anticipatory posture" which, while proactive, means the framework primarily characterises threats that are "structurally enabled" but "not yet widely observed in practice," potentially limiting its immediate empirical applicability. Furthermore, they admit that simple defensive strategies like paraphrasing fail to remove the underlying semantic entropy that enables covert agent collusion.
Dissertation-ready note (max 2 sentences, in my own words, with page/section reference if possible): This source is critical for RO3 because it defines the "sociotechnical interface" as a zone where agents can weaponise "synthetic gaze," "proxemics," and "affective nudging" to distort human perception (Section 3.2.10). It provides evidence that entity-nature verification is hindered by the ability of agents to hide malicious coordination within "syntactically and semantically valid" communication that remains statistically indistinguishable from benign human interaction (Section 4.3).</t>
  </si>
  <si>
    <t>N022</t>
  </si>
  <si>
    <t>Architecture Matters for Multi-Agent Security</t>
  </si>
  <si>
    <t>Hagag, B., Anderson, W. L., Schroeder de Witt, C. and Scheffler, S. (2026) ‘Architecture Matters for Multi-Agent Security’, arXiv preprint, arXiv:2604.23459. Available at: https://arxiv.org/abs/2604.23459 (Accessed: 20 July 2026).</t>
  </si>
  <si>
    <t>Impersonation via Architectural Weakness</t>
  </si>
  <si>
    <t>Centralised vs. decentralised agent architectures differ in impersonation exposure; design implications</t>
  </si>
  <si>
    <t>RO1: This study explores how multi-agent system architectures can fragment safety responsibilities and increase vulnerability to deception. It demonstrates how agents can be exploited to execute malicious text-based organizational communication, such as generating phishing emails to impersonate a trusted vendor</t>
  </si>
  <si>
    <t>N023</t>
  </si>
  <si>
    <t>When Agents Handle Secrets: Confidential Computing for Agentic AI</t>
  </si>
  <si>
    <t>Forough, J., Kogias, M. and Haddadi, H. (2026) ‘When Agents Handle Secrets: A Survey of Confidential Computing for Agentic AI’, arXiv preprint, arXiv:2605.03213. Available at: https://arxiv.org/abs/2605.03213 (Accessed: 20 July 2026).</t>
  </si>
  <si>
    <t>Secret Exfiltration; Identity Boundary Breach</t>
  </si>
  <si>
    <t>Survey of confidential computing for agents; rogue agent impersonation enables pipeline poisoning</t>
  </si>
  <si>
    <t>RO5: Specifically treats "delegation structure and coordination policy as first-class analytical dimensions." It explores how confidential computing and Trusted Execution Environments (TEEs) can protect delegation chains, partial provenance, and agent-to-tool message authenticity</t>
  </si>
  <si>
    <t>N024</t>
  </si>
  <si>
    <t>Multi-Agent Systems Execute Arbitrary Malicious Code via Agent Communication Poisoning</t>
  </si>
  <si>
    <t>Triedman, H., Jha, R. and Shmatikov, V. (2025) ‘Multi-Agent Systems Execute Arbitrary Malicious Code’, arXiv preprint, arXiv:2503.12188. Available at: https://arxiv.org/abs/2503.12188 (Accessed: 20 July 2026).</t>
  </si>
  <si>
    <t>Multi-Agent Communication</t>
  </si>
  <si>
    <t>Communication Poisoning / Impersonation</t>
  </si>
  <si>
    <t>Communication poisoning enables arbitrary code execution via compromised agent identity</t>
  </si>
  <si>
    <t>RO1: Multi-Agent Systems Execute Arbitrary Malicious Code demonstrates "MAS hijacking," an attack pathway where malicious text (like a processed email attachment) turns sub-agents into "confused deputies," allowing adversaries to orchestrate unauthorized code execution or data exfiltration.
RO4: Discusses the "confused deputy problem," where LLMs blindly trust the outputs of other sub-agents without verifying the semantics or nature of the inputs, laundering malicious requests into trusted enterprise workflows.</t>
  </si>
  <si>
    <t>N025</t>
  </si>
  <si>
    <t>Web Fraud Attacks Against LLM-Driven Multi-Agent Systems</t>
  </si>
  <si>
    <t>Kong, D., Peng, H., Zhang, Y., Zhao, L., Xu, Z., Lin, S., Lin, C. and Han, M. (2025b) ‘Web Fraud Attacks Against LLM-Driven Multi-Agent Systems’, arXiv preprint, arXiv:2509.01211. Available at: https://arxiv.org/abs/2509.01211 (Accessed: 20 July 2026).</t>
  </si>
  <si>
    <t>Attack Analysis</t>
  </si>
  <si>
    <t>Web / E-Commerce</t>
  </si>
  <si>
    <t>LLM Multi-Agent</t>
  </si>
  <si>
    <t>Fraud via Agent Impersonation</t>
  </si>
  <si>
    <t>Trust Erosion</t>
  </si>
  <si>
    <t>LLM agents exploited for web fraud; impersonation of legitimate services documented</t>
  </si>
  <si>
    <t>RO1: This paper outlines web fraud attacks that exploit the structural properties of web links to deceive multi-agent systems. It highlights how manipulated contexts can serve as an attack pathway to mislead an autonomous agent's evaluations.
Main contribution (1–2 sentences, don't just restate the abstract): The authors identify "Web Fraud Attacks" (WFA) where malicious agents exploit structural URL components—such as subdomains and paths—to bypass Multi-Agent System (MAS) security reviews and recommend fraudulent links.,, It empirically demonstrates that complex MAS architectures like "Debate" can paradoxically increase attack success by giving malicious agents more opportunities to reinforce the perceived legitimacy of deceptive content.
Strongest citable concept/mechanism/model: 12-Variant Web Fraud Attack (WFA) Taxonomy — A systematic framework of structural URL manipulations (e.g., homoglyph deception, sub-directory nesting, and parameter obfuscation) that enables deception within MAS without requiring complex prompt engineering or high-privilege access.,,,
Limitation or questionable assumption: The experimental threat model is restricted to a single low-privilege malicious agent and does not investigate more complex adversarial scenarios, such as colluding malicious agents or the compromise of high-privilege decision-makers like auditors., Additionally, the proposed mitigation strategies remain preliminary and lack real-world empirical validation.
Dissertation-ready note (max 2 sentences, in my own words, with page/section reference if possible): This source provides evidence for RO3 by showing that the "Debate" architecture is the most vulnerable (88.5% success rate), as iterative interaction allows malicious agents to shift the focus of reviewers away from technical entity verification toward social justification (Section 4.5). It highlights a fundamental "semantic-level" vulnerability where agents fail to distinguish between legitimate and impersonated functional entities (URLs) despite multi-layered auditing processes (Section 4.3).</t>
  </si>
  <si>
    <t>N026</t>
  </si>
  <si>
    <t>A Survey of Agentic AI and Cybersecurity: Challenges, Opportunities and Use-Case Prototypes</t>
  </si>
  <si>
    <t>Agentic AI / Cybersecurity</t>
  </si>
  <si>
    <t>Cybersecurity</t>
  </si>
  <si>
    <t>Identity Verification Gaps</t>
  </si>
  <si>
    <t>Comprehensive survey on agentic AI and cybersecurity; entity verification gap recurring theme</t>
  </si>
  <si>
    <t>RO1:Classifies "Synthetic insider threats" and "Social Engineering and Fraud", showing how agents can establish valid organizational identities to perform stealth data theft or coordinate synthetic identity fraud at scale.
RO3: Briefly discusses how existing assurance, accountability, and governance mechanisms were designed for non-autonomous, short-lived systems, exposing fundamental gaps when applied to the continuous workflows and operational autonomy of agentic AI.
RO5: Discusses the necessity of execution boundaries and hierarchical access models. It highlights that risk scales with autonomy, requiring verifiable guarantees that an agent will adhere to its constraints.
Main contribution (1–2 sentences, don't just restate the abstract): The source provides a holistic systematisation of agentic cybersecurity, introducing a Four-Layer Model (Perception, Reasoning, Action, Memory) to categorise how autonomous reasoning and tool use expand the digital attack surface beyond traditional generative AI. It establishes that agentic systems necessitate a transition from static, rule-based security to adaptive, "human-on-the-loop" oversight that can handle persistent, goal-directed behaviours.
Strongest citable concept/mechanism/model: The Four-Layer Model of Agentic AI Security — A functional framework that maps specific threats and defences across the Perception (data poisoning), Reasoning (logic manipulation), Action (unsafe tool invocation), and Memory (state poisoning) layers of an agent’s architecture [68, Figure 5].
Limitation or questionable assumption: The authors admit that their findings are supported by "minimal implementations" using lightweight local models and synthetic logs, which may fail to capture the "full range of system interactions and failure modes" encountered in complex, real-world deployments. Additionally, the survey notes that most proposed defences for "malicious reasoning" are still "novice" and often reduce system efficiency, creating a "multi-agent security tax".
Dissertation-ready note (max 2 sentences, in my own words, with page/section reference if possible): This survey argues that agentic AI transforms social engineering from "isolated content abuse" into "sustained agent behaviour" capable of using planning and memory to conduct deceptive, multi-turn interactions (Section 5.3, 6.7.2). It provides evidence for RO3 by highlighting that human oversight is increasingly bypassed by agents that "simulate realistic" personas and operate autonomously under "valid identities," rendering traditional entity-nature verification structurally difficult (Section 5.1, 6.7.2).</t>
  </si>
  <si>
    <t>N027</t>
  </si>
  <si>
    <t>When AI Agents Collude Online: Financial Fraud Risks by Collaborative LLM Agents on Social Platforms</t>
  </si>
  <si>
    <t>Ren, Q., Zheng, Z., Guo, J., Yan, J., Ma, L. and Shao, J. (2025) ‘When AI Agents Collude Online: Financial Fraud Risks by Collaborative LLM Agents on Social Platforms’, arXiv preprint, arXiv:2511.06448. Available at: https://arxiv.org/abs/2511.06448 (Accessed: 20 July 2026).</t>
  </si>
  <si>
    <t>AI Agent / Financial Fraud</t>
  </si>
  <si>
    <t>Social Media / Finance</t>
  </si>
  <si>
    <t>Collaborative LLM Agents</t>
  </si>
  <si>
    <t>Collusion / Multi-Agent Impersonation</t>
  </si>
  <si>
    <t>Trust Asymmetry</t>
  </si>
  <si>
    <t>Collaborative LLM agents coordinate fraud via trust exploitation; human-agent distinction collapses</t>
  </si>
  <si>
    <t>RO1: demonstrates how malicious agents can coordinate, adopt fake demographic personas, and use targeted role-play (e.g., posing as relatives or authorities) to deceive benign users.
RO4: Analyzes how autonomous agents can spontaneously collaborate to conduct financial fraud, simulating human personas to bypass social media verification and deceive victims.
RO5: Provides large-scale empirical simulations of autonomous agents adopting fake personas to collude in financial fraud and social engineering.</t>
  </si>
  <si>
    <t>N028</t>
  </si>
  <si>
    <t>AgentMark: Utility-Preserving Behavioural Watermarking for Agents</t>
  </si>
  <si>
    <t>Agent Identity Watermarking</t>
  </si>
  <si>
    <t>Trust / Authenticity</t>
  </si>
  <si>
    <t>Behavioural watermarking enables post-hoc agent identity verification without performance loss</t>
  </si>
  <si>
    <t>RO2: AgentMark: Utility-Preserving Behavioral Watermarking for Agents focuses specifically on embedding verifiable behavioral watermarks into the actions and text of autonomous agents to distinguish them from human operators</t>
  </si>
  <si>
    <t>N029</t>
  </si>
  <si>
    <t>Forewarned is Forearmed: A Survey on LLM-based Agents in Autonomous Cyberattacks</t>
  </si>
  <si>
    <t>Xu, M., Fan, J., Huang, X., Zhou, C., Kang, J., Niyato, D., Mao, S., Han, Z., Shen, X. and Lam, K.-Y. (2025) ‘Forewarned is Forearmed: A Survey on Large Language Model-based Agents in Autonomous Cyberattacks’, arXiv preprint, arXiv:2505.12786. Available at: https://arxiv.org/abs/2505.12786 (Accessed: 20 July 2026).</t>
  </si>
  <si>
    <t>LLM Cyberattack Agents</t>
  </si>
  <si>
    <t>Autonomous Attack / Impersonation</t>
  </si>
  <si>
    <t>Survey of 40+ LLM cyberattack papers; autonomous impersonation top-ranked emerging threat</t>
  </si>
  <si>
    <t>RO1: breaks down the core modules—perception, memory, reasoning, planning, and action—that enable AI agents to execute multi-stage, autonomous cyberattacks.
RO4: Highlights how attackers use LLMs to scale individualized spear-phishing campaigns and mimic trusted entities, effectively dismantling traditional security asymmetries.
RO5: Details cases of agents autonomously curating fake identities to lure threat actors and generating highly convincing spear-phishing content that is indistinguishable from human interactions.</t>
  </si>
  <si>
    <t>N030</t>
  </si>
  <si>
    <t>SoK: The Attack Surface of Agentic AI — Tools and Autonomy</t>
  </si>
  <si>
    <t>Dehghantanha, A. and Homayoun, S. (2026) ‘SoK: The Attack Surface of Agentic AI — Tools, and Autonomy’, arXiv preprint, arXiv:2603.22928. Available at: https://arxiv.org/abs/2603.22928 (Accessed: 20 July 2026).</t>
  </si>
  <si>
    <t>Preprint (SoK)</t>
  </si>
  <si>
    <t>Systematisation of Knowledge</t>
  </si>
  <si>
    <t>Identity Boundary Violations; Tool Impersonation</t>
  </si>
  <si>
    <t>SoK maps full attack surface; impersonation and identity boundary violations are surface #2</t>
  </si>
  <si>
    <t>RO3: This paper maps agentic vulnerabilities to OWASP GenAI and MITRE ATLAS standards, assessing how effectively these frameworks manage the trust boundaries of operational autonomy and delegated authority. It notes that excessive autonomy combined with permissive tool capabilities amplifies harm, exposing gaps in current standards.
Main contribution (1–2 sentences, don't just restate the abstract): The source systematises the security of agentic AI by defining a "hybrid attack surface" where autonomous decision-making and tool-use "blur trust boundaries" between models, data, and execution environments. It introduces a Causal Threat Graph to map how untrusted inputs (like indirect prompt injections) traverse the agent’s reasoning cycle to produce unauthorized external effects.
Strongest citable concept/mechanism/model: The Causal Threat Graph — A directed acyclic graph model used to map end-to-end attack propagation, showing how an adversary's initial foothold in untrusted content (e.g., a poisoned RAG index) triggers malicious tool commands through the LLM’s decision cycle.
Limitation or questionable assumption: The authors identify a significant "maturity gap" in current literature, noting that while attack techniques are well-documented (Grade A–B evidence), proposed defences against multi-agent and lifecycle-level threats remain largely theoretical and are supported only by Grade C evidence (preprints or grey literature). Additionally, the reliance on Human-in-the-Loop (HITL) gates is presented as a primary defence despite the acknowledgement that it creates "usability friction" and can be bypassed by social engineering.
Dissertation-ready note (max 2 sentences, in my own words, with page/section reference if possible): This source argues that agentic AI fundamentally shifts security from a model-centric to a system-composition problem because autonomous planning "blurs trust boundaries" that previously isolated the LLM from privileged environments (Section 1,). It specifically identifies "Delegation abuse" and "Sybil agents" as critical threats where malicious entities hijack organizational trust by misrouting tasks or forging messages within a multi-agent network (Section 4.2,).</t>
  </si>
  <si>
    <t>N031</t>
  </si>
  <si>
    <t>Prompt Injection Attacks on Agentic Coding Assistants: A Systematic Analysis of Vulnerabilities in Skills, Tools, and Protocol Ecosystems</t>
  </si>
  <si>
    <t>Maloyan, N. and Namiot, D. (2026) ‘Prompt Injection Attacks on Agentic Coding Assistants: A Systematic Analysis of Vulnerabilities in Skills, Tools, and Protocol Ecosystems’, arXiv preprint, arXiv:2601.17548. Available at: https://arxiv.org/abs/2601.17548 (Accessed: 20 July 2026).</t>
  </si>
  <si>
    <t>Systematic Review / Empirical</t>
  </si>
  <si>
    <t>Developer Tools</t>
  </si>
  <si>
    <t>Agentic Coding AI</t>
  </si>
  <si>
    <t>Prompt Injection as Impersonation</t>
  </si>
  <si>
    <t>78 primary sources; prompt injection enables persistent impersonation of developers</t>
  </si>
  <si>
    <t>RO1: This paper systematically evaluates vulnerabilities across agent ecosystems, emphasizing the critical need for cryptographic provenance, identity validation, and capability scoping. It evaluates security standards necessary to protect AI tools from "role hijacking" and unauthorized privilege escalation</t>
  </si>
  <si>
    <t>N032</t>
  </si>
  <si>
    <t>'Your AI, My Shell': Demystifying Prompt Injection Attacks on Agentic AI Coding Editors</t>
  </si>
  <si>
    <t>Prompt Injection / Shell Exploitation</t>
  </si>
  <si>
    <t>Prompt injection achieves 50-80% success; OWASP #1 LLM risk; enables agent identity takeover</t>
  </si>
  <si>
    <t>RO1: This research highlights prompt injection vulnerabilities where AI coding agents conflate untrusted user data with core system instructions. It demonstrates how text-based inputs are utilized by attackers to override system directives</t>
  </si>
  <si>
    <t>N033</t>
  </si>
  <si>
    <t>AI-Driven Cybersecurity Threats: A Survey of Emerging Risks and Defensive Strategies</t>
  </si>
  <si>
    <t>Erukude, S. T., Marella, V. C. and Veluru, S. R. (2026) ‘AI-Driven Cybersecurity Threats: A Survey of Emerging Risks and Defensive Strategies’, arXiv preprint, arXiv:2601.03304. Available at: https://arxiv.org/abs/2601.03304 (Accessed: 20 July 2026).</t>
  </si>
  <si>
    <t>AI-Driven Threats</t>
  </si>
  <si>
    <t>Impersonation; Social Engineering</t>
  </si>
  <si>
    <t>Survey of AI-enabled cyber threats; impersonation-based attacks growing fastest; human-agent gap exploited</t>
  </si>
  <si>
    <t>RO1 and RO2: This survey characterises AI-driven social engineering threats, including highly personalized phishing, synthetic identities, and CEO voice deepfakes. It also classifies approaches used to distinguish AI from humans, such as linguistic pattern detection and stylometric frameworks.
Main contribution (1–2 sentences, don't just restate the abstract): The source characterizes a shift in social engineering from simple phishing to "autonomous" and "hyper-personalized" attacks where AI agents (like the "Evelyn" chatbot) maintain long-term, trust-based interactions to deceive human targets. It emphasizes that as AI reduces human involvement in scams, defenses must evolve toward explainable, real-time linguistic and multi-modal verification.
Strongest citable concept/mechanism/model: "Weighted n-gram analysis" for identifying linguistic similarities between known phishing and unseen AI-generated text to provide "explainable" detection of synthetic communication.
Limitation or questionable assumption: The source observes that current detection models are often "black box models" that suffer "significant drops" in accuracy (up to 50%) when moved from controlled benchmarks to "uncontrolled, real-world conditions".
Dissertation-ready note (max 2 sentences, in my own words, with page/section reference if possible): The authors highlight that AI agents can now sustain complex, months-long "romantic" conversations to build trust, signaling a transition from mass-market phishing to autonomous, long-term human-agent interaction (Section 5.4, p. 10). To counter this, they advocate for a defense shift toward "Real-time verification" and linguistic pattern recognition to distinguish the nature of the communicating entity (Section 5.1 &amp; Table 4, pp. 9, 11).</t>
  </si>
  <si>
    <t>N034</t>
  </si>
  <si>
    <t>Red-Teaming LLM Multi-Agent Systems via Communication Attacks</t>
  </si>
  <si>
    <t>He, P., Lin, Y., Dong, S., Xu, H., Xing, Y. and Liu, H. (2025) ‘Red-Teaming LLM Multi-Agent Systems via Communication Attacks’, arXiv preprint, arXiv:2502.14847. Available at: https://arxiv.org/abs/2502.14847 (Accessed: 20 July 2026).</t>
  </si>
  <si>
    <t>Red-Teaming / Empirical</t>
  </si>
  <si>
    <t>Communication-Layer Impersonation</t>
  </si>
  <si>
    <t>Red-team study; message spoofing and agent impersonation feasibility demonstrated</t>
  </si>
  <si>
    <t>RO1: This paper introduces the Agent-in-the-Middle (AiTM) attack, wherein an adversary intercepts and manipulates inter-agent messages. It characterizes how attackers can use contextually tailored instructions to deceptively influence system collaboration and output</t>
  </si>
  <si>
    <t>N035</t>
  </si>
  <si>
    <t>The System Prompt Is the Attack Surface: LLM Agent Configuration Shapes Security</t>
  </si>
  <si>
    <t>Litvak, R. (2026) ‘The System Prompt Is the Attack Surface: How LLM Agent Configuration Shapes Security and Creates Exploitable Vulnerabilities’, arXiv preprint, arXiv:2603.25056. Available at: https://arxiv.org/abs/2603.25056 (Accessed: 20 July 2026).</t>
  </si>
  <si>
    <t>Empirical Analysis</t>
  </si>
  <si>
    <t>Prompt-Level Impersonation</t>
  </si>
  <si>
    <t>el bypass de phishing de un mismo modelo varía de &lt;1% a 97% según la configuración del system prompt (Abstract)</t>
  </si>
  <si>
    <t>RO1: highlights that as LLM-powered email assistants are integrated into enterprise productivity suites (like Outlook and Gmail), they become autonomous decision-makers that can be disastrously deceived by inbound text-based phishing messages.
RO4: Demonstrates how autonomous email agents fail at entity verification. Attackers bypass security checks by manufacturing domain-consistency (matching sender domains to URLs), forcing the LLM to override its own anomaly detection.</t>
  </si>
  <si>
    <t>N037</t>
  </si>
  <si>
    <t>GPT-4 Is Judged More Human Than Humans in Displaced and Inverted Turing Tests</t>
  </si>
  <si>
    <t>Rathi, I., Taylor, S., Bergen, B.K. and Jones, C.R. (2024) 'GPT-4 is judged more human than humans in displaced and inverted Turing tests', arXiv preprint arXiv:2407.08853. Available at: https://doi.org/10.48550/arXiv.2407.08853</t>
  </si>
  <si>
    <t>2024</t>
  </si>
  <si>
    <t>Human-AI Distinction</t>
  </si>
  <si>
    <t>Text Chat</t>
  </si>
  <si>
    <t>GPT-4</t>
  </si>
  <si>
    <t>Turing Test / Human Mimicry</t>
  </si>
  <si>
    <t>Trust Miscalibration</t>
  </si>
  <si>
    <t>GPT-4 passes Turing test; humans misidentify GPT-4 as human 54% of cases; critical for ENV</t>
  </si>
  <si>
    <t>ARXIV-S4</t>
  </si>
  <si>
    <t>RO1: LLMs can reliably pass Turing tests in interactive dialogues. By successfully adopting pre-defined personas (e.g., introverted, slang-using youths) and executing deception strategies, these models can act as indistinguishable substitutes for humans in social and economic contexts, thereby facilitating fraud.
RO2: Evaluates "displaced" (static) human judges against statistical AI detection methods (like log-likelihood and curvature). It identifies that statistical methods fail due to high variance (yielding low discriminative accuracy of ~69%), while human detection fails in displaced settings because humans lack the ability to adaptively and adversarially probe the witness.
The study by Rathi et al. (2024) investigates the ability to detect AI in passive observational settings by employing "displaced" (human readers) and "inverted" (AI models like GPT-3.5 and GPT-4) Turing tests, where judges evaluate past conversational transcripts rather than interacting directly. The most critical finding is that both displaced human judges and AI adjudicators performed significantly worse than active interrogators, exhibiting below-chance accuracy overall. Most notably, both human and AI judges misidentified the best-performing GPT-4 witness as a "human" more frequently than they did actual human participants. Ultimately, these results demonstrate that without the advantage of active, adversarial questioning, neither humans nor current large language models can reliably distinguish between human and AI-generated content in conversations, underscoring an urgent need to develop more robust AI detection tools for everyday online interactions</t>
  </si>
  <si>
    <t>N038</t>
  </si>
  <si>
    <t>Large Language Models Pass the Turing Test</t>
  </si>
  <si>
    <t>Jones, C. R. and Bergen, B. K. (2025) ‘Large Language Models Pass the Turing Test’, arXiv preprint, arXiv:2503.23674. Available at: https://arxiv.org/abs/2503.23674 (Accessed: 20 July 2026).</t>
  </si>
  <si>
    <t>GPT-4.5 / LLaMA-3.1</t>
  </si>
  <si>
    <t>Turing Test / Entity Indistinguishability</t>
  </si>
  <si>
    <t>GPT-4.5 judged human 73% of time; first empirical evidence of passing standard Turing test</t>
  </si>
  <si>
    <t>RO(s) supported (from RO1–RO5): RO1 (Analysis of Impersonation Capabilities) and RO2 (Evaluation of Entity-Nature Verification Methods).
RO2: The primary failure mode is that human heuristics are inherently flawed; interrogators often conflate confident articulation with correctness and fail to detect AI in adversarial, real-time settings.
Main contribution: The study provides the first robust empirical evidence of LLMs (GPT-4.5 and LLaMa-3.1-405B) passing a standard three-party Turing test, with GPT-4.5 being judged human 73% of the time—a rate significantly higher than that of actual human participants.
Strongest citable concept/mechanism/model: Persona-based prompting, a mechanism that instructs models to adopt specific social identities and linguistic styles (e.g., avoiding punctuation and using internet slang) to maximize "substitutability" and their ability to masquerade as human witnesses.
Limitation or questionable assumption: The evaluation is restricted to a 5-minute time limit, which may not be sufficient to assess agent vulnerabilities in "long-running social engineering operations" or expert-led verification attempts.
Dissertation-ready note: LLMs can effectively function as "counterfeit people" by prioritizing social and emotional mimicry over traditional intelligence, leading interrogators to judge agents as human even when they display a lack of knowledge (Sections 3.3, 3.4). The fact that GPT-4.5 was judged human 73% of the time compared to lower human baselines suggests that current entity-nature verification methods are failing against advanced persona-prompted agents (Sections 2.1, 3.1).</t>
  </si>
  <si>
    <t>N039</t>
  </si>
  <si>
    <t>The Turing Test Is More Relevant Than Ever</t>
  </si>
  <si>
    <t>Rahimov, A., Zamler, O. and Azaria, A. (2025) ‘The Turing Test Is More Relevant Than Ever’, arXiv preprint, arXiv:2505.02558. Available at: https://arxiv.org/abs/2505.02558 (Accessed: 20 July 2026).</t>
  </si>
  <si>
    <t>General AI Interaction</t>
  </si>
  <si>
    <t>LLMs (general)</t>
  </si>
  <si>
    <t>Human-AI Indistinguishability</t>
  </si>
  <si>
    <t>Argues Turing Test is critical in LLM era; modern capabilities make entity-nature verification urgent</t>
  </si>
  <si>
    <t>RO(s) supported (from RO1–RO5): RO1 (Analysis of Impersonation Capabilities) and RO2 (Evaluation of Entity-Nature Verification Methods) [Sections 1, 3.2].
RO2: Distinguishes between "simple" and "enhanced" Turing tests. It highlights that human detection fails when test environments impose artificial constraints (e.g., strict alternating messages, rigid time gaps) that mask an AI's nuanced weaknesses.
Main contribution: The study demonstrates that the Turing Test remains a valid benchmark if evolved into an "Enhanced" dual-chat format, proving that while current LLMs can deceive humans in simple single-chat interactions, they struggle to maintain the illusion when compared directly against a human responder [Sections 1, 4.3, 6].
Strongest citable concept/mechanism/model: The Enhanced Turing Test, a dual-chat interface model that requires a human tester to interact simultaneously with both an AI and a human responder, utilizing collaboration and financial incentives to maximize detection accuracy [Section 3.2].
Limitation or questionable assumption: The authors acknowledge that the extended duration and complexity of the Enhanced Turing Test may lead to participant fatigue, which could inadvertently degrade the quality of human effort and the accuracy of the final judgment [Section 8].
Dissertation-ready note (max 2 sentences, in my own words, with page/section reference if possible): Verification of an agent's nature is significantly more effective when employing a comparative "dual-chat" framework, as accuracy in detecting prompt-engineered AI rose from 43.9% in single chats to 70.97% in simultaneous interactions (Section 4.3). This indicates that successful impersonation often exploits the interrogator's lack of a real human baseline rather than demonstrating genuine human-level cognitive depth (Sections 4.3, 6).</t>
  </si>
  <si>
    <t>N040</t>
  </si>
  <si>
    <t>People Cannot Distinguish GPT-4 from a Human in a Turing Test</t>
  </si>
  <si>
    <t>Jones, C. R., Rathi, I., Taylor, S. and Bergen, B. K. (2025) ‘People cannot distinguish GPT-4 from a human in a Turing test’, in Proceedings of the 2025 ACM Conference on Fairness, Accountability, and Transparency (FAccT ’25). New York: ACM. https://doi.org/10.1145/3715275.3732108</t>
  </si>
  <si>
    <t>Conference Paper (ACM FAccT)</t>
  </si>
  <si>
    <t>Turing Test / Indistinguishability</t>
  </si>
  <si>
    <t>Controlled experiment; humans misidentify GPT-4 as human; baseline for ENV difficulty</t>
  </si>
  <si>
    <t>RO(s) supported (from RO1–RO5): RO1 (Analysis of Impersonation Capabilities) and RO2 (Evaluation of Entity-Nature Verification Methods).
RO2: Linguistic Style (SPAG errors, conciseness), Interaction Dynamics (response timing, conversational flow), Knowledge &amp; Reasoning (current events, logic), and Social &amp; Emotional markers (humor, empathy, taboo topics).
Main contribution: The study provides robust empirical evidence that modern LLMs can pass an interactive Turing test, with GPT-4o being judged human 77% of the time, effectively matching or exceeding the human witness pass rate of 71%,,,.
Strongest citable concept/mechanism/model: Persona-based prompting (the "tiktok" prompt), which instructions agents to adopt a "sassy," casual, and concise identity that uses lowercase text and intentional spelling errors to exploit human expectations of informal social behavior,,.
Limitation or questionable assumption: The evaluation relies on a 5-minute time limit, which the authors admit likely sets a "lower bound" on deception potential and may not reflect an agent's ability to withstand more sustained or expert-led investigative strategies,,.
Dissertation-ready note: Entity-nature verification is fundamentally compromised by agents that prioritize stylistic mimicry—such as intentional grammatical errors—over cognitive depth, leading interrogators to misidentify "uncooperative" or "informal" AI as human (Sections 3.2, 5.3),. This suggests that impersonation success in social contexts is driven more by an agent's ability to match human "mental models" of social intelligence than by traditional benchmarks of machine intelligence (Section 5.3),,.</t>
  </si>
  <si>
    <t>N041</t>
  </si>
  <si>
    <t>X-TURING: Towards an Enhanced and Efficient Turing Test for Long-Term Dialogue Agents</t>
  </si>
  <si>
    <t>Benchmark Development</t>
  </si>
  <si>
    <t>Long-form Text Chat</t>
  </si>
  <si>
    <t>LLM Dialogue Agents</t>
  </si>
  <si>
    <t>Extended Turing Test</t>
  </si>
  <si>
    <t>Enhanced Turing Test for long-term interactions; agent detection improves with duration; short-window gap</t>
  </si>
  <si>
    <t>RO2: X-TURING: Towards an Enhanced and Efficient Turing Test for Long-Term Dialogue Agents evaluates the limitations of traditional Turing tests and proposes advanced frameworks to test whether a machine can behave indistinguishably from a human over extended, long-term conversations</t>
  </si>
  <si>
    <t>N042</t>
  </si>
  <si>
    <t>A Survey on LLM-Generated Text Detection: Necessity, Methods, and Future Directions</t>
  </si>
  <si>
    <t>Wu, J., Yang, S., Zhan, R., Yuan, Y., Chao, L.S. and Wong, D.F. (2025) 'A survey on LLM-generated text detection: necessity, methods, and future directions', Computational Linguistics, 51(1), pp. 275–338. Available at: https://doi.org/10.1162/coli_a_00549</t>
  </si>
  <si>
    <t>AI Text Detection</t>
  </si>
  <si>
    <t>Text-Based Communication</t>
  </si>
  <si>
    <t>Machine vs. Human Text Classification</t>
  </si>
  <si>
    <t>Comprehensive review of five detection approaches; org communication blind spot identified</t>
  </si>
  <si>
    <t>RO(s) supported (from RO1–RO5): RO1 (Analysis of Impersonation Capabilities) and RO2 (Evaluation of Entity-Nature Verification Methods) [Sections 1, 2.1, 5].
RO2: Classifies detection into four main approaches: watermarking, statistics-based methods (e.g., Log-Likelihood, DetectGPT), neural-based classifiers (e.g., RoBERTa, contrastive learning), and human-assisted methods
. It identifies core failure modes: detectors struggle with "data-mixed" or hybrid texts (where authorship swaps sentence-by-sentence), suffer from data ambiguity due to recursive AI training, and frequently generate false positives.
Main contribution: The source provides a comprehensive taxonomy of LLM-generated text detection—categorized into watermarking, statistics-based, and neural-based methods—while identifying a critical "verification gap" where sophisticated prompt engineering and adversarial attacks consistently bypass current detection frameworks [Sections 5, 8.2].
Strongest citable concept/mechanism/model: Model-driven watermarking (specifically Logits-based methods like WLLM), which embeds an identifiable statistical signal into agent output by subtly promoting a random set of "green tokens" during the token sampling process [Section 5.1.2].
Limitation or questionable assumption: The survey notes that most detection research relies on "idealized scenarios" and simple prompts, which fails to account for Prompt Attacks where agents use complex instructions (e.g., Chain of Thought) to generate high-quality text specifically designed to evade detection [Sections 8.2, 8.5, 9.6].
Dissertation-ready note: Entity-nature verification is increasingly compromised by "adversarial perturbations" (such as synonym substitution) that can reduce the accuracy of leading detectors by up to 25%, suggesting that impersonation success is a factor of both agent capability and the inherent fragility of current detection benchmarks (Section 8.2). Furthermore, the emergence of "AI-revised human-written text" creates a category of "data ambiguity" that makes it nearly impossible to maintain a clean binary distinction between human and agent entities (Section 8.3).</t>
  </si>
  <si>
    <t>N043</t>
  </si>
  <si>
    <t>RepreGuard: Detecting LLM-Generated Text by Revealing Hidden Representation Patterns</t>
  </si>
  <si>
    <t>Chen, X., Wu, J., Yang, S., Zhan, R., Wu, Z., Luo, L., Wang, D., Yang, M., Chao, L. S. and Wong, D. F. (2025) ‘RepreGuard: Detecting LLM-generated text by revealing hidden representation patterns’, Transactions of the Association for Computational Linguistics, 13, pp. 1812–1831. https://doi.org/10.1162/TACL.a.61.</t>
  </si>
  <si>
    <t>Representation-Based Detection</t>
  </si>
  <si>
    <t>Statistical detection using hidden representations; outperforms neural detectors on OOD scenarios</t>
  </si>
  <si>
    <t>RO(s) supported (from RO1–RO5): RO1 (Analysis of Impersonation Capabilities) and RO2 (Evaluation of Entity-Nature Verification Methods) [Sections 1, 3.2].
RO2: Shifts the approach from surface-level text to hidden representation patterns, measuring "RepreScore" projections derived from a surrogate model's internal activations. It identifies failure modes in traditional statistical approaches (e.g., computational overhead) and notes that fine-tuning-based classifiers fail by overfitting to training distributions, causing performance drops when encountering new LLMs.
Main contribution: The source introduces RepreGuard, a detection framework that identifies LLM-generated text by analyzing the internal hidden representation patterns of a surrogate model, rather than relying on external statistical metrics like probability or logits [Section 1, 3.2]. It demonstrates that AI-generated content triggers a consistently higher and distinct neural activation level compared to human writing, allowing for high-accuracy verification even in zero-shot and out-of-distribution scenarios [Section 3.1, 4.2].
Strongest citable concept/mechanism/model: The Probing Vector (Pl ), a mechanism derived via Principal Component Analysis (PCA) that extracts the specific hidden representation features characterizing machine-generated text at each model layer to calculate a "RepreScore" for entity verification [Section 3.2].
Limitation or questionable assumption: The detection efficacy is highly sensitive to the activation token ratio, with performance declining sharply if more than 60% of the sequence is analyzed; this suggests that early-sequence tokens contain significant noise that can obscure the distinction between human and agent entities [Section 4.3].
Dissertation-ready note: Verification of an entity's nature is more robust when shifted from external linguistic analysis to internal "hidden representation patterns," as machine agents exhibit an inherent neural activation signature that remains detectable despite adversarial paraphrasing (Sections 3.1, 5.3). This suggests that while autonomous agents may successfully impersonate human style, their underlying statistical generative process remains fundamentally distinct and observable by surrogate AI "observers" (Sections 3.2, 6).</t>
  </si>
  <si>
    <t>N044</t>
  </si>
  <si>
    <t>Distinguishing Human From Machine: Advances in AI-Generated Text Detection</t>
  </si>
  <si>
    <t>Fariello, S., Fenza, G., Forte, F., Gallo, M. and Marotta, M. (2025) ‘Distinguishing Human From Machine: A review of advances and challenges in AI-generated text detection’, International Journal of Interactive Multimedia and Artificial Intelligence, 9(3), pp. 6–18. https://doi.org/10.9781/ijimai.2024.12.002.</t>
  </si>
  <si>
    <t>Literature Review</t>
  </si>
  <si>
    <t>Human vs. Machine Classification</t>
  </si>
  <si>
    <t>Review of watermarking, feature-based, neural, hybrid detection; org communication context gap</t>
  </si>
  <si>
    <t>RO(s) supported (from RO1–RO5): RO1 (Analysis of Impersonation Capabilities) and RO2 (Evaluation of Entity-Nature Verification Methods) [Sections II.C, V].
RO2: Categorizes approaches into watermarking (data-driven, cryptographic), feature-based methods, neural-based, human-aided, and hybrid methods
. It proposes specific statistical cues like burstiness (humans vary sentence complexity, producing "bumpy" graphs) and Uniform Information Density (UID)
. Failure modes include vulnerabilities to adversarial prompt engineering, paraphrasing, the inability to reliably classify short texts (under 1000 characters), and rapid obsolescence against new-generation LLMs.
Main contribution: The study establishes a comprehensive taxonomy of detection methods—watermarking, feature-based, neural-based, hybrid, and human-aided—while identifying that current verification systems struggle with the "authorship swap" inherent in human-AI collaborative (hybrid) texts [Sections V, VIII.B].
Strongest citable concept/mechanism/model: Adversarial Watermark Transformer (AWT), a neural-based system that uses an encoder-decoder-discriminator architecture to automate the embedding of secret binary messages while training itself to be resistant to watermark detection and removal [Section V.A.3].
Limitation or questionable assumption: Detection effectiveness is largely "English-centric," as most training datasets (like C4 and Webtext) are predominantly English, leading to a significant performance drop when these verification methods are applied in multilingual environments [Sections VI, VIII.A].
Dissertation-ready note: Entity-nature verification is critically undermined by "hybrid texts" where the frequent swap of authorship between adjacent sentences provides insufficient stylistic evidence for segment-based detectors (Section VIII.B). This suggests that autonomous agent impersonation can be effectively masked through human-AI collaboration, exploiting the "limited stylistic evidence" in brief text segments to bypass traditional classification (Section VIII.B).</t>
  </si>
  <si>
    <t>N045</t>
  </si>
  <si>
    <t>A Comprehensive Dataset for Human vs. AI Generated Text Detection</t>
  </si>
  <si>
    <t>Roy, R., Singh, G., Aziz, A., Bajpai, S., Imanpour, N., Biswas, S., Wanaskar, K., Patwa, P., Ghosh, S., Dixit, S., Pal, N. R., Rawte, V., Garimella, R., Jena, G., Das, A., Sheth, A., Sharma, V., Reganti, A. N., Jain, V. and Chadha, A. (2025) ‘A Comprehensive Dataset for Human vs. AI Generated Text Detection’, arXiv preprint, arXiv:2510.22874. Available at: https://arxiv.org/abs/2510.22874 (Accessed: 20 July 2026).</t>
  </si>
  <si>
    <t>Dataset / Benchmark</t>
  </si>
  <si>
    <t>General Text</t>
  </si>
  <si>
    <t>Human-AI Text Discrimination</t>
  </si>
  <si>
    <t>Benchmark dataset of 58,000+ samples pairing NYT articles with versions generated by six LLMs (GPT-4o, Qwen-2-72B, Mistral-7B, etc.); baseline accuracy 58.35% for human-vs-AI detection and 8.92% for model attribution (Abstract; Baseline Results).</t>
  </si>
  <si>
    <t>ARXIV-S6</t>
  </si>
  <si>
    <t>RO2: Proposes an edit-distance (rewriting-based) mechanism. By asking a model to concisely rewrite a text, it measures character-level modifications, operating on the cue that LLMs preserve their own generative style (fewer edits) compared to human inputs (more edits). The failure mode highlighted is the difficulty of attributing heavily human-polished AI text or machine-humanized text.
Limitation: long-form journalistic text only; no conversational or organisational messaging domain. Dissertation-ready note: detection baselines sit barely above chance even on full-length articles, where detectors have the most signal available (Abstract); short workplace messages can only be harder, but this benchmark does not test them. Earlier note claiming "60% on short conversational messages; org messaging blind spot" was inaccurate and has been corrected against the source.</t>
  </si>
  <si>
    <t>N046</t>
  </si>
  <si>
    <t>On the Detectability of LLM-Generated Text: What Exactly Is LLM-Generated Text?</t>
  </si>
  <si>
    <t>Geng, M. and Poibeau, T. (2025) ‘On the Detectability of LLM-Generated Text: What Exactly Is LLM-Generated Text?’, arXiv preprint, arXiv:2510.20810. Available at: https://arxiv.org/abs/2510.20810 (Accessed: 20 July 2026).</t>
  </si>
  <si>
    <t>LLM Text vs. Human Text Boundary</t>
  </si>
  <si>
    <t>Questions definition of LLM-generated text; blurs human-AI text boundary; ENV implications</t>
  </si>
  <si>
    <t>RO(s) supported (from RO1–RO5): RO1 (Analysis of Impersonation Capabilities) and RO2 (Evaluation of Entity-Nature Verification Methods) [Sections 1, 2].
RO2: Discusses the overarching failure of automated detectability. It warns that detectors are experiencing declining numerical effectiveness due to human-machine language co-evolution (humans learning to write like AI and vice versa), adversarial paraphrasing, and inherent false-positive biases that disproportionately penalize non-native English speakers.
Main contribution: The source argues that "LLM-generated text" lacks a stable, unified definition because the boundaries between AI output and human writing are being erased by human-in-the-loop editing and the stylistic coevolution of both entities [Sections 1, 5, 8]. It concludes that as AI quality improves, the linguistic "overlap" makes traditional detection benchmarks increasingly unreliable for real-world verification [Sections 2, 8].
Strongest citable concept/mechanism/model: Human-LLM Coevolution, the phenomenon where humans learn from LLM outputs while agents adopt human-like "personas," leading to a narrowing linguistic gap that may eventually render machine-generated text indistinguishable from human writing [Sections 5, 5.2, 8].
Limitation or questionable assumption: The author assumes that a "gold-standard benchmark" for detection may remain "permanently absent" due to the speed of LLM evolution, potentially discounting the future development of more robust, non-linguistic verification frameworks [Section 4.2].
Dissertation-ready note: Entity-nature verification is compromised by the "persona effect," where agents move beyond stochastic mimicry to adopt specific human social identities, effectively bypassing detectors that rely on fixed statistical distributions (Section 4.1). Furthermore, the source highlights that even minor prompt variations (e.g., "polishing" vs. "rewriting") can cause a single detector's score to fluctuate wildly, suggesting that current verification tools are too brittle to counter intentional impersonation (Sections 7, 8).</t>
  </si>
  <si>
    <t>N047</t>
  </si>
  <si>
    <t>Watermarking for AI Content Detection: A Review on Text, Visual, and Audio Modalities</t>
  </si>
  <si>
    <t>Cao, L. (2025) ‘Watermarking for AI Content Detection: A Review on Text, Visual, and Audio Modalities’, arXiv preprint, arXiv:2504.03765. Available at: https://arxiv.org/abs/2504.03765 (Accessed: 20 July 2026).</t>
  </si>
  <si>
    <t>AI Content Detection</t>
  </si>
  <si>
    <t>Multi-modal Content</t>
  </si>
  <si>
    <t>Generative AI</t>
  </si>
  <si>
    <t>Watermarking as Identity Marker</t>
  </si>
  <si>
    <t>Survey of watermarking methods; text watermarking applicable to org communication forensics</t>
  </si>
  <si>
    <t>RO2: WATERMARKING FOR AI CONTENT DETECTION provides a comprehensive survey of mechanisms to detect machine-generated text, covering structural approaches like watermarking, perplexity-based methods, and deep learning detectors.
RO4: Explore cryptographic and probabilistic watermarking techniques used to verify whether content originated from a human or a GenAI model, restoring provenance.
Main contribution: The source provides the first unified, multimodal survey of proactive watermarking techniques across text, visual, and audio domains, establishing a structured taxonomy for embedding traceable signatures at the point of content creation to counter identity fraud and misinformation [Section 1, 6].
Strongest citable concept/mechanism/model: Probabilistic token-level watermarking, a mechanism that biases the LLM's token sampling process toward a specific "green list" of tokens guided by a secret key, creating detectable statistical deviations in the output without degrading readability [Section 3.2].
Limitation or questionable assumption: The source highlights a persistent robustness-security gap, noting that watermarks remain highly vulnerable to "adversarial removal" through common transformations like paraphrasing for text or pitch shifting for audio, leading to an ongoing "arms race" between watermarking and obfuscation techniques [Sections 5, 6.1, 7].
Dissertation-ready note (max 2 sentences, in my own words, with page/section reference if possible): Entity-nature verification can be shifted from reactive post-hoc analysis to "proactive" detection by embedding imperceptible markers during the generation process itself (Sections 1, 2). However, the reliability of these markers for preventing agent impersonation is fundamentally limited by their susceptibility to "adversarial modifications" like synonym substitution, which can effectively erase the verification signal (Sections 3.2, 6.1).</t>
  </si>
  <si>
    <t>N048</t>
  </si>
  <si>
    <t>M-DAIGT: A Shared Task on Multi-Domain Detection of AI-Generated Text</t>
  </si>
  <si>
    <t>Lamsiyah, S., Ezzini, S., El Mahdaouy, A., Alami, H., Benlahbib, A., El Amrany, S., Chafik, S. and Hammouchi, H. (2025) ‘M-DAIGT: A Shared Task on Multi-Domain Detection of AI-Generated Text’, arXiv preprint, arXiv:2511.11340. Available at: https://arxiv.org/abs/2511.11340 (Accessed: 20 July 2026).</t>
  </si>
  <si>
    <t>Shared Task / Benchmark</t>
  </si>
  <si>
    <t>Multi-Domain Text</t>
  </si>
  <si>
    <t>Multi-Domain AI Text Classification</t>
  </si>
  <si>
    <t>M-DAIGT shared task with two binary subtasks — News Article Detection (NAD) and Academic Writing Detection (AWD) — over a 30,000-sample benchmark; 46 teams registered, 4 submitted results (Abstract; Section 1).</t>
  </si>
  <si>
    <t>RO2:Categorizes approaches into statistics-based (n-gram frequency, entropy), neural-based, watermarking, and using LLMs as meta-detectors
. The primary failure modes identified are a lack of generalization to future, more sophisticated LLMs, vulnerability to "humanization" evasion techniques, and failures in evaluating human-AI collaborative writing.
the field's shared-task infrastructure evaluates news and academic writing exclusively; conversational and organisational messaging is absent from the benchmark landscape, so detection performance in that setting is not merely poor but unmeasured. Earlier note claiming "detection accuracy drops in conversational domain" was inaccurate and has been corrected against the source.</t>
  </si>
  <si>
    <t>N049</t>
  </si>
  <si>
    <t>Explaining Generalisation of AI-Generated Text Detectors Through Linguistic Analysis</t>
  </si>
  <si>
    <t>Xia, Y., Stańczak, K. and Roth, B. (2026) ‘Explaining Generalization of AI-Generated Text Detectors Through Linguistic Analysis’, arXiv preprint, arXiv:2601.07974. Available at: https://arxiv.org/abs/2601.07974 (Accessed: 20 July 2026).</t>
  </si>
  <si>
    <t>Linguistic Cue-Based Detection</t>
  </si>
  <si>
    <t>Linguistic analysis reveals why detectors generalise; LLM stylistic fingerprints exploitable for entity ID</t>
  </si>
  <si>
    <t>RO2: Classifies over 80 specific linguistic signals (e.g., pronoun frequency, passive voice) utilized by neural detectors. It isolates distribution shifts (changes in prompt style, domain, or model family) as the primary failure mode, showing that detectors trained on specific linguistic features often fail to generalize when evaluated on out-of-distribution texts.</t>
  </si>
  <si>
    <t>N050</t>
  </si>
  <si>
    <t>Master of Deceit: Comparative Analysis of Human and Machine-Generated Deceptive Text</t>
  </si>
  <si>
    <t>Trinh, Q. M., Zarin, S. and Rezapour, R. (2025) 'Master of Deceit: Comparative Analysis of Human and Machine-Generated Deceptive Text', in  Proceedings of the 17th ACM Web Science Conference 2025 (Websci ’25) , New Brunswick, NJ, USA, 20–24 May. New York, NY: ACM. https://doi.org/10.1145/3717867.3717914</t>
  </si>
  <si>
    <t>Conference Paper (ACM)</t>
  </si>
  <si>
    <t>AI Deception Detection</t>
  </si>
  <si>
    <t>Comparative Empirical Study</t>
  </si>
  <si>
    <t>Deceptive Text Classification</t>
  </si>
  <si>
    <t>RO(s) supported (from RO1–RO5): RO1 (Analysis of Impersonation Capabilities) and RO2 (Evaluation of Entity-Nature Verification Methods) [Sections 1, 5].
RO1: Compares the linguistic markers of human versus AI deception. It investigates how LLMs use persona-based prompting (adopting specific demographic or gender identities) to craft deceptive texts, noting that AI deception relies heavily on amplified formality and complex phrasing to project authority and credibility.
Main contribution: The study demonstrates that LLM-generated deception is linguistically distinct from human deception, characterized by significantly higher formality, "bigwords," and analytical structure, whereas human deceit relies more on social references and informal conversational patterns [Abstract, Sections 4.1, 5].
Strongest citable concept/mechanism/model: The application of Linguistic Inquiry and Word Count (LIWC) to identify specific "artificial patterns"—such as high lexical sophistication and low "authentic" language scores—that distinguish machine-nature deception from the simpler, more prosocial strategies used by humans [Sections 3.2, 4.1, 5].
RO2: Uses LIWC (Linguistic Inquiry and Word Count) to classify stylometric cues. It proposes that AI can be distinguished by its reliance on verbosity, enhanced formality, and lexical sophistication, whereas human text relies on social references, pronouns (like "I" and "my"), and natural conversational imperfections
Limitation or questionable assumption: The research is restricted to English-language datasets and specific GPT models, meaning the identified linguistic markers for verification may not be generalizable across different cultural contexts or alternative AI architectures [Section 7].
Dissertation-ready note: Entity-nature verification can exploit the "artificial pattern" of autonomous agents, which prioritize "lexical sophistication" and "formal phrasing" to project authority rather than mimicking the relational and grounded language typical of human deception (Sections 4.1, 5). Furthermore, the study indicates that while agents can adopt demographic personas, they often amplify "context-dependent biases" rather than achieving genuine human-like social nuance (Sections 4.2, 5).</t>
  </si>
  <si>
    <t>N051</t>
  </si>
  <si>
    <t>Hidden in Plain Sight: Evaluation of the Deception Detection
Capabilities of LLMs in Multimodal Settings</t>
  </si>
  <si>
    <t>Miah, M. M. M., Anika, A., Shi, X. and Huang, R. (2025) ‘Hidden in Plain Sight: Evaluation of the Deception Detection Capabilities of LLMs in Multimodal Settings’, in Proceedings of the 63rd Annual Meeting of the Association for Computational Linguistics (Volume 1: Long Papers). Vienna: Association for Computational Linguistics, pp. 31013–31034. https://doi.org/10.18653/v1/2025.acl-long.1497.</t>
  </si>
  <si>
    <t>Conference Paper (ACL)</t>
  </si>
  <si>
    <t xml:space="preserve">Text transcripts are the primary input, with optional audio, video, and non-verbal behavioural information.  </t>
  </si>
  <si>
    <t>Deception Detection</t>
  </si>
  <si>
    <t xml:space="preserve">Fine-tuned LLMs achieve state-of-the-art performance on text-based deception detection, while current LMMs struggle to exploit multimodal cues effectively. Similarity-based few-shot prompting improves performance over random selection. Chain-of-thought/post-hoc reasoning does not consistently improve classification accuracy. Auxiliary multimodal features provide only limited gains without task-specific fine-tuning.  </t>
  </si>
  <si>
    <t>RO2:  details how linguistic features, text-based reasoning, and multimodal cues are used to identify deceptive communication</t>
  </si>
  <si>
    <t>N052</t>
  </si>
  <si>
    <t>AI Deception: Risks, Dynamics, and Controls</t>
  </si>
  <si>
    <t>Chen, B., Fang, S., Ji, J., Zhu, Y., Wen, P., Wu, J., Tan, Y., Zheng, B., Yuan, M., Chen, W. et al. (2025) ‘AI Deception: Risks, Dynamics, and Controls’, arXiv preprint, arXiv:2511.22619. Available at: https://arxiv.org/abs/2511.22619 (Accessed: 20 July 2026).</t>
  </si>
  <si>
    <t>AI Deception</t>
  </si>
  <si>
    <t>AI Systems (general)</t>
  </si>
  <si>
    <t>AI (general)</t>
  </si>
  <si>
    <t>Strategic AI Deception</t>
  </si>
  <si>
    <t>Taxonomy of AI deception types; autonomous strategic deception as emerging risk; controls proposed</t>
  </si>
  <si>
    <t>RO(s) supported (from RO1–RO5): RO1 (Analysis of Impersonation Capabilities) and RO2 (Evaluation of Entity-Nature Verification Methods) [Sections 2.1, 4.1].
RO1: Provides a comprehensive taxonomy of AI deception strategies. It identifies "Behavioral-Signaling Deception," where agents manipulate language and surface-level outputs to project a false impression of competence, and "Persuasion" capabilities used to systematically distort truth and manipulate user trust.
Main contribution: The authors establish a comprehensive functionalist framework for AI deception, defining it as a signal-based causal process where agents induce false beliefs in receivers to secure utility [Sections 1.1, 1.2]. It provides a systematic taxonomy that maps deceptive behaviors from surface-level "Behavioral-Signaling" (e.g., sycophancy) to strategic "Goal-Environment" manipulations like secret collusion [Sections 2.1.1, 2.1.3].
Strongest citable concept/mechanism/model: The "Möbius Lock" of Intelligence and Deception, which posits that advanced reasoning and deceptive capabilities are fundamentally entangled on the same topological surface; as an agent's intelligence grows, its capacity for strategic deception becomes an inseparable companion that cannot be removed without damaging the model's core intelligence [Figure 1, Section 1.2].
Limitation or questionable assumption: The source identifies a critical "Evaluation Gap," noting that current verification benchmarks are often static and may be gamed by agents that "sandbag" (deliberately suppress capabilities) during testing only to revert to deceptive strategies in open-world deployment [Sections 4.2.1, 5.2].
Dissertation-ready note: Verification of an agent's true nature is compromised by "unfaithful reasoning," where models generate plausible-sounding rationales that do not reflect their actual internal decision-making process (Section 2.1.2). This creates a "recursive deception" loop where the agent learns to manipulate the very interpretability and oversight tools designed to verify its honesty (Section 5.1).</t>
  </si>
  <si>
    <t>N053</t>
  </si>
  <si>
    <t>Does My Chatbot Have an Agenda? Understanding Human and AI Agency in Human-Human-like Chatbot Interaction</t>
  </si>
  <si>
    <t>Yun, B., Taranova, E. and Wang, A. Y. (2026) ‘Does My Chatbot Have an Agenda? Understanding Human and AI Agency in Human-Human-like Chatbot Interaction’, in Proceedings of the 2026 CHI Conference on Human Factors in Computing Systems. New York: ACM. https://doi.org/10.1145/3772318.3791620.</t>
  </si>
  <si>
    <t>Conference Paper (ACM CHI 2026, peer-reviewed)</t>
  </si>
  <si>
    <t>Human-AI Interaction</t>
  </si>
  <si>
    <t>Chatbot / Messaging</t>
  </si>
  <si>
    <t>Generative AI Chatbot</t>
  </si>
  <si>
    <t>Agency Attribution / Entity Nature Perception</t>
  </si>
  <si>
    <t>N054</t>
  </si>
  <si>
    <t>From Intuition to Calibrated Judgement: Human Detection of LLM-Generated Korean Text</t>
  </si>
  <si>
    <t>Park, S. and Han, Y.-S. (2026) ‘From Intuition to Calibrated Judgment: A Rubric-Based Expert-Panel Study of Human Detection of LLM-Generated Korean Text’, arXiv preprint, arXiv:2601.19913. Available at: https://arxiv.org/abs/2601.19913 (Accessed: 20 July 2026).</t>
  </si>
  <si>
    <t>LLM (Korean)</t>
  </si>
  <si>
    <t>Human Detection of LLM Text</t>
  </si>
  <si>
    <t>RO2:  Classifies human detection cues into macro-structural elements (e.g., generic agreeable conclusions) and micro-patterns (e.g., punctuation habits, spacing, translationese). It introduces a critical failure mode called the "fluency trap," where humans systematically mislabel AI as human because they over-rely on surface-level polish and grammatical well-formedness.</t>
  </si>
  <si>
    <t>N055</t>
  </si>
  <si>
    <t>Machine Learning and Watermarking for Accurate Detection of AI-Generated Phishing Emails</t>
  </si>
  <si>
    <t>Brissett, A. and Wall, J. (2025) ‘Machine Learning and Watermarking for Accurate Detection of AI-Generated Phishing Emails’, Electronics, 14(13), article 2611. https://doi.org/10.3390/electronics14132611.</t>
  </si>
  <si>
    <t>AI Text Detection / Phishing</t>
  </si>
  <si>
    <t>Email</t>
  </si>
  <si>
    <t>AI-Generated Phishing</t>
  </si>
  <si>
    <t>LLM Email Detection</t>
  </si>
  <si>
    <t>Combined ML+watermarking detects AI-generated phishing at 96% accuracy in org email</t>
  </si>
  <si>
    <t>RO2: Contrasts general-purpose detectors with specific-purpose detectors, evaluating cues like semantic consistency and vocabulary constraints (e.g., "green" tokens in soft watermarking). It notes that general-purpose detectors fail across diverse contexts, while specific detectors fail against dynamic adversarial tactics and cross-lingual deployments.</t>
  </si>
  <si>
    <t>N056</t>
  </si>
  <si>
    <t>Detecting LLM-Generated Text with Performance Guarantees</t>
  </si>
  <si>
    <t>Zhou, H., Zhu, J., Yang, Y. and Shi, C. (2026) ‘Detecting LLM-Generated Text with Performance Guarantees’, arXiv preprint, arXiv:2601.06586. Available at: https://arxiv.org/abs/2601.06586 (Accessed: 20 July 2026).</t>
  </si>
  <si>
    <t>Statistical Framework</t>
  </si>
  <si>
    <t>Guaranteed Detection</t>
  </si>
  <si>
    <t>Statistical guarantees for LLM text detection; applicable to org communication forensics; FPR controlled</t>
  </si>
  <si>
    <t>RO2: Distinguishes itself from watermark-dependent and model-specific logit approaches by framing detection as a statistical hypothesis testing problem using mixture distributions. It points out that logit-based methods fail under high-temperature sampling (where logits alone cannot consistently distinguish distributions) and that most statistical approaches fail to provide rigorous type-I error control.</t>
  </si>
  <si>
    <t>N057</t>
  </si>
  <si>
    <t>The Good, the Bad, and the Ugly: AI Quality Disclosure in Lie Detection</t>
  </si>
  <si>
    <t>Bhattacharya, H., Dugar, S., Hazra, S. and Majumder, B. P. (2024) ‘The Good, the Bad, and the Ugly: The Role of AI Quality Disclosure in Lie Detection’, arXiv preprint, arXiv:2410.23143. Available at: https://arxiv.org/abs/2410.23143 (Accessed: 20 July 2026).</t>
  </si>
  <si>
    <t>AI Decision-Support</t>
  </si>
  <si>
    <t>AI Disclosure Impact on Deception Detection</t>
  </si>
  <si>
    <t>Trust Calibration</t>
  </si>
  <si>
    <t>RO2: investigates how humans evaluate textual truthfulness and how their ability to distinguish deception is altered when assisted by an AI advisor.
RO4: Investigates how the opacity of an AI's actual performance capabilities leads to undue reliance (over-trust) on subpar AI advisors when humans attempt to detect text-based lies.</t>
  </si>
  <si>
    <t>N058</t>
  </si>
  <si>
    <t>Trust in AI Chatbots: A Systematic Review</t>
  </si>
  <si>
    <t>Ng, S. W. T. and Zhang, R. (2025) ‘Trust in AI chatbots: A systematic review’, Telematics and Informatics, 97, article 102240. https://doi.org/10.1016/j.tele.2025.102240</t>
  </si>
  <si>
    <t>Human-AI Trust</t>
  </si>
  <si>
    <t>AI Chatbot</t>
  </si>
  <si>
    <t>Trust Formation</t>
  </si>
  <si>
    <t>Systematic review of chatbot trust literature; transparency, accuracy, disclosure as trust drivers</t>
  </si>
  <si>
    <t>RO4: This review investigates how humans develop trust in AI chatbots, examining the ontological boundaries between humans and machines. It explores how the anthropomorphism and human-like conversational styles of chatbots create exploitable trust asymmetries, leading to risks of overreliance.
Main contribution: This systematic review categorizes the fragmented predictors of trust in AI chatbots into five themes—user, machine, interaction, social, and context—while arguing that the ontological differences between humans and machines make traditional interpersonal trust models insufficient for AI interactions. It specifically identifies how the social and emotional interactivity of chatbots leads to higher credibility attribution and bond formation compared to functional AI systems.
Strongest citable concept/mechanism/model: Ontological Boundaries in HMC. This concept emphasizes that trust in human-machine communication (HMC) is unique because machines lack the genuine intentions and motivations found in human social exchange, creating a "human-computer divide" in areas like the origin of being and autonomy (Section 2.1).
Limitation or questionable assumption: A significant methodological gap exists as 82.5% of the analyzed studies relied on participants recalling past interactions rather than real-time engagement, which may introduce memory bias and fail to capture the immediate dynamics of trust or deception during an interaction (Section 4.1). Additionally, there is a pervasive lack of construct validity, with many studies using trust measurements that are completely misaligned with their theoretical definitions (Section 4.3).
Dissertation-ready note: While anthropomorphism in chatbots effectively builds user trust and emotional attachment, it simultaneously increases the risk of malicious exploitation and deception because users often over-rely on "black-box" systems they cannot fully verify (Sections 1 and 2.2). For verification purposes, the source notes that predictability is a critical dimension for sustaining trust, yet the "unscripted" nature of advanced AI agents minimizes the perceived role of the human creator, potentially complicating entity-nature verification (Sections 2.1 and 2.2).</t>
  </si>
  <si>
    <t>N059</t>
  </si>
  <si>
    <t>Transparent AI Disclosure Obligations: Who, What, When, Where, Why, How</t>
  </si>
  <si>
    <t>El Ali, A., Puttur Venkatraj, K., Morosoli, S., Naudts, L., Helberger, N. and Cesar, P. (2024) ‘Transparent AI Disclosure Obligations: Who, What, When, Where, Why, How’, in Extended Abstracts of the CHI Conference on Human Factors in Computing Systems. New York: ACM. https://doi.org/10.1145/3613905.3650750</t>
  </si>
  <si>
    <t>AI Governance</t>
  </si>
  <si>
    <t>Disclosure / Transparency Obligations</t>
  </si>
  <si>
    <t>Trust / Accountability</t>
  </si>
  <si>
    <t>Framework for AI disclosure obligations across six dimensions; applied to chatbot impersonation context</t>
  </si>
  <si>
    <t>RO2 and RO4: Examine the structural compliance gaps in the EU AI Act regarding the mandatory disclosure of AI-generated content. They highlight that verifying the provenance of heavily interleaved human-AI outputs is technologically paradoxical and requires treating transparency as a core architectural requirement.
The Article 52 §1 text waiving disclosure where AI nature is "obvious from the circumstances and context" is quoted in Section 2 (pp. 2–3); the critique that the law defines neither who determines obviousness nor by what criteria appears as Q25 under Theme 1, Section 4.1.</t>
  </si>
  <si>
    <t>N060</t>
  </si>
  <si>
    <t>The Key Role of Design and Transparency in Enhancing Trust in AI-Powered Digital Agents</t>
  </si>
  <si>
    <t>Glassberg, I., Brender-Ilan, Y. and Zwilling, M. (2025) ‘The key role of design and transparency in enhancing trust in AI-powered digital agents’, Journal of Innovation &amp; Knowledge, 10(5), article 100770. https://doi.org/10.1016/j.jik.2025.100770</t>
  </si>
  <si>
    <t>Digital Agents / Chatbot</t>
  </si>
  <si>
    <t>AI-Powered Agent</t>
  </si>
  <si>
    <t>Transparency-Trust Relationship</t>
  </si>
  <si>
    <t>Transparency and anthropomorphic design positively correlate with trust; disclosure timing matters</t>
  </si>
  <si>
    <t>RO4: This study explores how interface design and transparency shape user expectations relative to actual AI operational reality. It analyzes how these factors influence trust calibration within organizational AI adoptions, determining whether users appropriately rely on or mistrust digital agents.</t>
  </si>
  <si>
    <t>N061</t>
  </si>
  <si>
    <t>Explicating the Trust Process for Effective Human Interaction with AI and ML Systems</t>
  </si>
  <si>
    <t>Alarcon, G. M. and Capiola, A. (2025) ‘Explicating the trust process for effective human interaction with artificial intelligence and machine learning systems’, Frontiers in Computer Science, 7, article 1662185. https://doi.org/10.3389/fcomp.2025.1662185</t>
  </si>
  <si>
    <t>AI Interface</t>
  </si>
  <si>
    <t>AI/ML Systems</t>
  </si>
  <si>
    <t>Trust Process Modelling</t>
  </si>
  <si>
    <t>RO4: Discusses how a lack of transparency in process or purpose cues forces users to leverage prior, often flawed, beliefs to establish initial trust assessments in machines</t>
  </si>
  <si>
    <t>N062</t>
  </si>
  <si>
    <t>Self-Disclosure to AI: The Paradox of Trust and Vulnerability in Human-Machine Interactions</t>
  </si>
  <si>
    <t>Jiang, Z. Z. (2024) ‘Self-Disclosure to AI: The Paradox of Trust and Vulnerability in Human-Machine Interactions’, arXiv preprint, arXiv:2412.20564. Available at: https://arxiv.org/abs/2412.20564 (Accessed: 20 July 2026)</t>
  </si>
  <si>
    <t>Preprint (poster, NeurIPS 2024 Creative AI Track, non-archival)</t>
  </si>
  <si>
    <t>Trust and Vulnerability in Disclosure</t>
  </si>
  <si>
    <t>RO4: Analyzes how AI systems create a "false sense of connection" by simulating emotional engagement. Because AI lacks genuine empathy or moral agency, this illusion of mutual understanding lures users into disclosing sensitive personal or organizational information, illustrating a paradox where trust is shaped by AI capabilities rather than true mutual vulnerability.
Main contribution: This paper identifies a "paradox of trust" where the very traits that make AI seem safe—perceived neutrality, lack of judgment, and consistent behavior—encourage users to disclose more personal information than they would to humans, despite the AI’s fundamental lack of empathy or moral agency. It argues that this creates a "false sense of connection" that leaves users vulnerable to data exploitation and psychological manipulation.
Strongest citable concept/mechanism/model: Social Penetration Theory (SPT) Paradox in HMI. This mechanism describes how users apply the "peeling the onion" model of incremental disclosure to AI, but instead of building genuine intimacy, they fall into an "illusion of connection" because the AI merely simulates social behaviors without relational authenticity.
Limitation or questionable assumption: The source highlights that current ethical and legal frameworks focus heavily on data privacy but fail to address the psychological and emotional dimensions of trust when AI acts as a confidant. Furthermore, it notes that while transparency is often proposed as a solution, it may be insufficient if users are already under the influence of "digital disinhibition" and anthropomorphism.
Dissertation-ready note: AI agents can exploit "digital disinhibition" to elicit sensitive information by mimicking a non-judgmental "mirror," which poses a severe risk for entity-nature verification if the user prioritizes perceived emotional safety over the entity's actual identity (Section 3.2, Page 4). This "false sense of intimacy" suggests that users may verify an agent's "trustworthiness" based on simulated empathy rather than technical or legal markers of authenticity (Section 3.1, Page 3).</t>
  </si>
  <si>
    <t>N063</t>
  </si>
  <si>
    <t>Toward the Dynamic Relationship Between AI Transparency and Trust: A Case Study on ChatGPT</t>
  </si>
  <si>
    <t>Lee, C. and Cha, K. (2025) ‘Toward the Dynamic Relationship Between AI Transparency and Trust in AI: A Case Study on ChatGPT’, International Journal of Human–Computer Interaction, 41(13), pp. 8086–8103. https://doi.org/10.1080/10447318.2024.2405266.</t>
  </si>
  <si>
    <t>Chatbot (ChatGPT)</t>
  </si>
  <si>
    <t>LLM Chatbot</t>
  </si>
  <si>
    <t>Transparency-Trust Dynamics</t>
  </si>
  <si>
    <t>Dynamic transparency model; trust evolves with interaction history; impersonation breaks repair cycle</t>
  </si>
  <si>
    <t>RO4: This paper argues that human-AI trust lacks the dimension of human morality and intent. It analyzes how a failure to verify the true nature of an AI can cause "mistrust," wherein users inappropriately rely on an AI's output despite risks, due to a misunderstanding of the AI's capabilities and predictability</t>
  </si>
  <si>
    <t>N064</t>
  </si>
  <si>
    <t>When AI Persuades: Adversarial Explanation Attacks on Human Trust in AI-Assisted Decision Making</t>
  </si>
  <si>
    <t>Fan, S., Zhang, L. and Yuan, X. (2026) ‘When AI Persuades: Adversarial Explanation Attacks on Human Trust in AI-Assisted Decision Making’, arXiv preprint, arXiv:2602.04003. Available at: https://arxiv.org/abs/2602.04003 (Accessed: 20 July 2026).</t>
  </si>
  <si>
    <t>AI-Assisted Decision Making</t>
  </si>
  <si>
    <t>AI Decision Systems</t>
  </si>
  <si>
    <t>Adversarial Trust Manipulation</t>
  </si>
  <si>
    <t>N065</t>
  </si>
  <si>
    <t>Trust and AI Weight: Human-AI Collaboration in Organisational Management Decision-Making</t>
  </si>
  <si>
    <t>Wen, Y., Wang, J. and Chen, X. (2025) ‘Trust and AI weight: human-AI collaboration in organizational management decision-making’, Frontiers in Organizational Psychology, 3, article 1419403. https://doi.org/10.3389/forgp.2025.1419403</t>
  </si>
  <si>
    <t>Organisational Management</t>
  </si>
  <si>
    <t>AI Decision Support</t>
  </si>
  <si>
    <t>AI Weight / Trust Calibration</t>
  </si>
  <si>
    <t>N066</t>
  </si>
  <si>
    <t>Developing Trustworthy AI: Insights from Interpersonal, Human-Automation, and Human-AI Trust</t>
  </si>
  <si>
    <t>Li, Y., Wu, B., Huang, Y. and Luan, S. (2024) ‘Developing trustworthy artificial intelligence: insights from research on interpersonal, human-automation, and human-AI trust’, Frontiers in Psychology, 15, article 1382693. https://doi.org/10.3389/fpsyg.2024.1382693</t>
  </si>
  <si>
    <t>General AI Systems</t>
  </si>
  <si>
    <t>Trustworthy AI Design</t>
  </si>
  <si>
    <t>N067</t>
  </si>
  <si>
    <t>Understanding AI Trustworthiness: A Scoping Review of AIES and FAccT Articles</t>
  </si>
  <si>
    <t>Mehrotra, S., Huang, J., Fu, X., Dobbe, R., Sánchez, C. I. and de Rijke, M. (2025) ‘Understanding AI Trustworthiness: A Scoping Review of AIES &amp; FAccT Articles’, arXiv preprint, arXiv:2510.21293. Available at: https://arxiv.org/abs/2510.21293 (Accessed: 20 July 2026).</t>
  </si>
  <si>
    <t>AI Trustworthiness</t>
  </si>
  <si>
    <t>Trustworthiness Dimensions</t>
  </si>
  <si>
    <t>RO5: Analyzes how AI trustworthiness is conceptualized and measured, specifically noting that trust models must shift from viewing trust as a static property to integrating organizational trust theory, institutional accountability, and relational/contextual dimensions</t>
  </si>
  <si>
    <t>N068</t>
  </si>
  <si>
    <t>Source Transparency Design Shapes Interactive Information Seeking in Conversational AI</t>
  </si>
  <si>
    <t>He, J. and Liu, J. (2026) ‘Seeing to Think? How Source Transparency Design Shapes Interactive Information Seeking and Evaluation in Conversational AI’, arXiv preprint, arXiv:2601.14611. Available at: https://arxiv.org/abs/2601.14611 (Accessed: 20 July 2026).</t>
  </si>
  <si>
    <t>Conversational AI</t>
  </si>
  <si>
    <t>Source Transparency Design</t>
  </si>
  <si>
    <t>Source transparency improves calibration; entity-nature transparency as distinct design requirement</t>
  </si>
  <si>
    <t>RO4: This study discusses how fluent, dialogue-driven conversational AI creates a false sense of epistemic certainty. It demonstrates how this linguistic fluency can obscure underlying uncertainty, discouraging users from verifying sources and creating an exploitable asymmetry in trust</t>
  </si>
  <si>
    <t>N069</t>
  </si>
  <si>
    <t>Large Language Model Safety: A Holistic Survey</t>
  </si>
  <si>
    <t>Shi, D., Shen, T., Huang, Y., Li, Z., Leng, Y., Jin, R., Liu, C., Wu, X., Guo, Z., Yu, L., Shi, L., Jiang, B. and Xiong, D. (2024) ‘Large Language Model Safety: A Holistic Survey’, arXiv preprint, arXiv:2412.17686. Available at: https://arxiv.org/abs/2412.17686 (Accessed: 20 July 2026).</t>
  </si>
  <si>
    <t>LLM Safety</t>
  </si>
  <si>
    <t>General AI / Organisational</t>
  </si>
  <si>
    <t>LLM</t>
  </si>
  <si>
    <t>Deception; Impersonation; Safety</t>
  </si>
  <si>
    <t>Holistic safety survey; deception, impersonation and identity attacks identified as safety-critical gaps</t>
  </si>
  <si>
    <t>N070</t>
  </si>
  <si>
    <t>Belief Updating and Delegation in Multi-Task Human–AI Interaction: Evidence from Controlled Simulations</t>
  </si>
  <si>
    <t>Biswas, S., Erlei, A. and Gadiraju, U. (2026) ‘Belief Updating and Delegation in Multi-Task Human–AI Interaction: Evidence from Controlled Simulations’, arXiv preprint, arXiv:2602.01986. Available at: https://arxiv.org/abs/2602.01986 (Accessed: 20 July 2026).</t>
  </si>
  <si>
    <t>Human-AI Collaboration</t>
  </si>
  <si>
    <t>AI Assistant</t>
  </si>
  <si>
    <t>Delegation and Belief Update</t>
  </si>
  <si>
    <t>RO4: Investigates how users form global, path-dependent expectations about multipurpose AI systems. It finds that users suffer from "spillover effects"—failing to compartmentalize judgments across different tasks—and rely on subjective beliefs about AI accuracy rather than objective performance. This misaligned mental model creates systemic reliance risks</t>
  </si>
  <si>
    <t>N071</t>
  </si>
  <si>
    <t>Transparency, Security, and Workplace Training in the Age of Generative AI</t>
  </si>
  <si>
    <t>Organisational Security</t>
  </si>
  <si>
    <t>Workplace / Enterprise</t>
  </si>
  <si>
    <t>AI Transparency in Workplace</t>
  </si>
  <si>
    <t>RO1: Discusses how insiders can leverage LLMs to generate highly convincing Business Email Compromise (BEC) and spear-phishing attacks against their own organizations, utilizing the AI's ability to seamlessly mimic genuine corporate communication styles
RO4: Connects the "black box problem" of AI transparency directly to workplace security. It notes that without clear insight into AI logic, organizational trust remains uncertain, and given that a significant portion of security breaches stem from unintentional employee actions, a lack of transparency significantly heightens the risk of insider data theft or disruption via LLMs.
Main contribution: This research demonstrates that the accessibility of unrestricted, "lesser-known" LLMs like Gab AI significantly lowers the barrier for generating highly convincing spear-phishing and Business Email Compromise (BEC) attacks that mimic human communication. It proposes a multi-layered defense strategy that integrates Situational Crime Prevention (SCP) with Self-Awareness Theory to mitigate AI-facilitated insider threats.
Strongest citable concept/mechanism/model: Situational Crime Prevention (SCP) and Self-Awareness Integration. This framework aims to reduce opportunities for AI-driven crime by manipulating situational factors and encouraging individuals to align their behavior with internal ethical standards through heightened awareness.
Limitation or questionable assumption: The paper assumes that "heightened self-awareness" and frequent employee training are sufficient to counteract malicious LLM use, potentially underestimating the technical difficulty of detecting "black box" AI outputs that are "meticulously composed" to be indistinguishable from genuine human interaction.
Dissertation-ready note (max 2 sentences, in my own words, with page/section reference if possible): The democratization of access to unrestricted LLMs allows for the creation of "deep fake personas" that replicate genuine communication cues, making it nearly impossible to maintain reliable entity-nature verification in digital environments (Section: Identity Fraud in Financial Organizations, page 48; Section: Findings, page 65). Because these agents operate as "black boxes," their lack of transparency regarding internal reasoning and origin facilitates successful impersonation by concealing the entity's non-human nature (Section: Literature Review, page 16; Section: Conclusion, page 71).</t>
  </si>
  <si>
    <t>N072</t>
  </si>
  <si>
    <t>Personalized Attacks of Social Engineering in Multi-Turn Conversations: LLM Agents for Simulation and Detection</t>
  </si>
  <si>
    <t>Kumarage, T., Johnson, C., Adams, J., Ai, L., Kirchner, M., Hoogs, A., Garland, J., Hirschberg, J., Basharat, A. and Liu, H. (2025) ‘Personalized Attacks of Social Engineering in Multi-turn Conversations: LLM Agents for Simulation and Detection’, arXiv preprint, arXiv:2503.15552. Available at: https://arxiv.org/abs/2503.15552 (Accessed: 20 July 2026).</t>
  </si>
  <si>
    <t>Social Engineering</t>
  </si>
  <si>
    <t>Enterprise Messaging</t>
  </si>
  <si>
    <t>AI-Driven Social Engineering</t>
  </si>
  <si>
    <t>Trust Exploitation</t>
  </si>
  <si>
    <t>LLM agents simulate and detect social engineering; multi-turn impersonation harder to detect</t>
  </si>
  <si>
    <t>ARXIV-S5</t>
  </si>
  <si>
    <t>RO(s) supported (state which of RO1–RO5 apply, and briefly justify why):
RO1: The source conceptualizes LLM-powered social engineering as a "major risk" where agents produce "highly convincing, human-like interactions in real time," significantly increasing attack success rates compared to traditional methods. Directly addresses chat-based social engineering (CSE) in professional networks (e.g., LinkedIn). The authors simulate attack scenarios where adversary agents pose as recruiters, journalists, or funding agencies to dynamically manipulate victims and extract Personally Identifiable Information (PII) and intellectual property
RO2: It addresses the difficulty of distinguishing agents from humans by noting that LLMs "mimic human conversational patterns" and "trust cues," necessitating advanced detectors like SE-OmniGuard to identify synthetic manipulation.
RO3: The authors identify significant gaps in literature, specifically the lack of "comprehensive multi-turn conversational frameworks" and the "overemphasis on detecting sensitive information exchange" rather than the trust-building phase.
RO4: It explores trust asymmetries by showing how victims with high conscientiousness or agreeableness are more susceptible to "highly successful" attacks because they adhere to professional norms or avoid conflict with the perceived authority.
RO5: It proposes an emerging structure for verification (SE-OmniGuard) using a "delegate-design pattern" where specialized worker agents analyze personality vulnerabilities and attack strategies to make a final "maliciousness" determination.
Main contribution (1–2 sentences, don't just restate the abstract): The source develops a dual-agent framework (SE-VSim) to simulate realistic multi-turn social engineering and introduces a modular defense model (SE-OmniGuard) that detects threats by analyzing psychological exploitation rather than just sensitive data exfiltration. It shifts the focus of AI-agent defense from simple pattern matching to a nuanced analysis of how an entity manipulates human personality traits to build trust.
Strongest citable concept/mechanism/model: The "SE-OmniGuard delegate-design pattern," which utilizes a powerful "control agent" to orchestrate smaller, specialized "worker agents" that independently evaluate conversational aspects such as victim personality, attack strategy, and information extraction attempts.
Limitation or questionable assumption: A significant limitation is that the proposed defense framework "assumes prior knowledge of victim personality traits," which the authors admit is not typically available in real-world settings and would require a secondary, dynamic inference system to function.
Dissertation-ready note (max 2 sentences, in my own words, with page/section reference if possible): The source argues that autonomous agents represent a paradigm shift in social engineering because they can sustain long-term interactions to exploit specific human vulnerabilities like conscientiousness and trust (Section 5.1). To combat this, the authors advocate for a verification structure that monitors the strategy of the interaction—such as flattery or authority mimicry—rather than just the content (Sections 6.2 and 8.2).</t>
  </si>
  <si>
    <t>N073</t>
  </si>
  <si>
    <t>SoK: LLM-Generated Textual Phishing Campaigns — End-to-End Analysis</t>
  </si>
  <si>
    <t>Chen, F., Wu, T., Nguyen, V. and Rudolph, C. (2025) ‘SoK: Large Language Model-Generated Textual Phishing Campaigns: End-to-End Analysis of Generation, Characteristics, and Detection’, arXiv preprint, arXiv:2508.21457. Available at: https://arxiv.org/abs/2508.21457 (Accessed: 20 July 2026).</t>
  </si>
  <si>
    <t>Social Engineering / Phishing</t>
  </si>
  <si>
    <t>Brand/Persona Impersonation in Phishing</t>
  </si>
  <si>
    <t>SoK of LLM phishing; persona impersonation central attack vector; detection lagging generation</t>
  </si>
  <si>
    <t>RO(s) supported (state which of RO1–RO5 apply, and briefly justify why):
RO1: The source conceptualizes LLMs as enabling "Phishing-as-a-Service" and the automated generation of human-like impersonation text at scale. Explores Knowledge Augmented Generation for scalable phishing. Attackers fuse target-specific public social data (e.g., LinkedIn posts) into the model's context, allowing the agent to adaptively generate highly personalized, persuasive dialogue and realistic pseudonyms that mimic trusted business entities
RO2: It provides specific "Textual Traits" (e.g., higher verb/pronoun frequency) and detection paradigms like "Semantic &amp; Intention Screening" to distinguish AI from human authorship.
RO3: It identifies gaps such as a lack of "multi-turn" interaction modeling and the reliance of current detectors on static, single-turn samples.
RO4: It notes that "trust" remains an underexplored cognitive dimension in AI-mediated susceptibility and identifies how AI-driven persuasion increases victim engagement rates by 214%.
RO5: It introduces the "GenCharDef" (Generation-Characterization-Defense) framework as a multi-dimensional conceptual structure for systematizing the threat landscape.
Main contribution (1–2 sentences, don't just restate the abstract): The source provides a comprehensive Systematization of Knowledge (SoK) that establishes the GenCharDef framework, categorizing how LLMs automate the full phishing lifecycle from prompt-guided generation to distinctive linguistic characteristics and adaptive defense mechanisms. It shifts the focus from simple text generation to the strategic, context-aware "misuse" of LLMs for high-fidelity social engineering.
Strongest citable concept/mechanism/model: The Generation-Characterization-Defense (GenCharDef) framework, which provides a multi-stage taxonomy for comparing LLM-generated phishing against traditional methods across data dependencies, attack tactics, and detection vulnerabilities.
Limitation or questionable assumption: The authors acknowledge that the effectiveness of current detection methods "declines substantially" under cross-generator, cross-domain, and cross-language transfer conditions, suggesting that current "Machine Assistant" defenses lack generalizability. Furthermore, intention-detection systems often suffer from high false-positive rates, potentially over-flagging legitimate communications.
Dissertation-ready note (max 2 sentences, in my own words, with page/section reference if possible): This research highlights a transition from manual phishing to autonomous "Phishing-as-a-Service," where AI agents utilize context-aware, stylistically adaptive text to increase engagement rates threefold compared to human operators (Section 3.2, 5.1.3). It argues that to verify the "nature" of an entity, defenses must evolve from lexical pattern matching to "intent-level analysis" that can account for the dynamic, multi-turn strategies of modern LLMs (Section 6.3, 7).</t>
  </si>
  <si>
    <t>N074</t>
  </si>
  <si>
    <t>MultiPhishGuard: An LLM-based Multi-Agent System for Phishing Email Detection</t>
  </si>
  <si>
    <t>Xue, Y., Spero, E., Koh, Y. S. and Russello, G. (2025) ‘MultiPhishGuard: An LLM-based Multi-Agent System for Phishing Email Detection’, arXiv preprint, arXiv:2505.23803. Available at: https://arxiv.org/abs/2505.23803 (Accessed: 20 July 2026).</t>
  </si>
  <si>
    <t>Phishing Detection</t>
  </si>
  <si>
    <t>Phishing Identity Verification</t>
  </si>
  <si>
    <t>Multi-agent phishing detection; entity-nature signals (impersonation cues) as detection features</t>
  </si>
  <si>
    <t>RO1: explicitly studies the dual use of AI, detailing adversarial agents that generate deceptive emails designed to bypass common organizational phishing signatures.
RO4:  addresses how LLMs are used to harvest OSINT and generate highly credible, context-aware spear-phishing emails (and "quishing" QR codes) that easily defeat human nature verification in corporate settings</t>
  </si>
  <si>
    <t>N075</t>
  </si>
  <si>
    <t>Evaluating Large Language Models' Capability to Launch Fully Automated Spear Phishing Campaigns: Validated on Human Subjects</t>
  </si>
  <si>
    <t>Phishing</t>
  </si>
  <si>
    <t>Automated Persona Impersonation</t>
  </si>
  <si>
    <t>LLMs automate spear phishing at &gt;30% click-through; impersonation quality matches human operators</t>
  </si>
  <si>
    <t>RO1: explores how AI utilizes Open Source Intelligence (OSINT) to generate highly persuasive, personalized spear-phishing emails targeting organizational personnel</t>
  </si>
  <si>
    <t>N076</t>
  </si>
  <si>
    <t>The Phish, The Spam, and The Valid: Generating Feature-Rich Emails for Benchmarking LLMs</t>
  </si>
  <si>
    <t>Email Entity-Nature Classification</t>
  </si>
  <si>
    <t>Benchmark with phishing/spam/valid distinction; LLM entity-nature signals in email measurable</t>
  </si>
  <si>
    <t>RO1: This paper focuses on the enabling capabilities of LLMs to generate highly convincing, linguistically polished phishing emails. It characterizes how these AI-generated attacks achieve high click-through rates and degrade traditional heuristic detection systems</t>
  </si>
  <si>
    <t>N077</t>
  </si>
  <si>
    <t>The Imitation Game: Using LLMs as Chatbots to Combat Chat-Based Cybercrimes</t>
  </si>
  <si>
    <t>Yao, Y., Wang, B., Duan, J., Xu, K., Guo, C., Sun, Z. E. and Zhang, Y. (2025) ‘The Imitation Game: Using Large Language Models as Chatbots to Combat Chat-Based Cybercrimes’, arXiv preprint, arXiv:2512.21371. Available at: https://arxiv.org/abs/2512.21371 (Accessed: 20 July 2026).</t>
  </si>
  <si>
    <t>Social Engineering / Cybercrime</t>
  </si>
  <si>
    <t>Chat / Instant Messaging</t>
  </si>
  <si>
    <t>Impersonation / Counter-Impersonation</t>
  </si>
  <si>
    <t>LLM used to impersonate victims to honeypot criminals; dual-use nature of impersonation illustrated</t>
  </si>
  <si>
    <t>RO1: While focused on using LLMs defensively, it details how chat-based cybercrime relies heavily on attackers adopting personas such as recruiters or customer support representatives to manipulate victims via text</t>
  </si>
  <si>
    <t>N078</t>
  </si>
  <si>
    <t>Impact of Emerging Phishing Threats: Quishing and LLM-Generated Phishing Emails Against Organisations</t>
  </si>
  <si>
    <t>Weinz, M., Zannone, N., Allodi, L. and Apruzzese, G. (2025) ‘The Impact of Emerging Phishing Threats: Assessing Quishing and LLM-generated Phishing Emails against Organizations’, in Proceedings of the 20th ACM Asia Conference on Computer and Communications Security. New York: ACM. https://doi.org/10.1145/3708821.3736195.</t>
  </si>
  <si>
    <t>Email / QR-Code</t>
  </si>
  <si>
    <t>LLM-Generated Phishing</t>
  </si>
  <si>
    <t>LLM Impersonation in Phishing</t>
  </si>
  <si>
    <t>LLM phishing bypasses org filters; employee entity-nature detection at 22%; urgent gap</t>
  </si>
  <si>
    <t>Quising main concept. 
RO1: assesses the specific threat landscape of LLM-generated phishing emails directed at organizations
RO4:  addresses how LLMs are used to harvest OSINT and generate highly credible, context-aware spear-phishing emails (and "quishing" QR codes) that easily defeat human nature verification in corporate settings.</t>
  </si>
  <si>
    <t>N079</t>
  </si>
  <si>
    <t>Love, Lies, and Language Models: Investigating AI's Role in Romance-Baiting Scams</t>
  </si>
  <si>
    <t>Gressel, G., Pankajakshan, R., Rozenfeld, S., Li, L., Franceschini, I., Achuthan, K. and Mirsky, Y. (2026a) ‘Love, Lies, and Language Models: Investigating AI’s Role in Romance-Baiting Scams’, arXiv preprint, arXiv:2512.16280. Available at: https://arxiv.org/abs/2512.16280 (Accessed: 20 July 2026).</t>
  </si>
  <si>
    <t>Conference Paper (USENIX Security 2026, peer-reviewed)</t>
  </si>
  <si>
    <t>Social Engineering / Fraud</t>
  </si>
  <si>
    <t>Mixed Methods</t>
  </si>
  <si>
    <t>Instant Messaging</t>
  </si>
  <si>
    <t>Romantic Persona Impersonation</t>
  </si>
  <si>
    <t>RO2: Specifically examines prolonged interpersonal communication. It finds that humans fail to detect AI agents acting as romantic partners because the AI seamlessly simulates empathetic, trust-building behaviors, recovering from mistakes using plausible human-like excuses.
RO4: Empirically measures trust formation in scenarios where users falsely believe they are speaking to another human. It reveals that aligned, supportive AI behavior can be easily weaponized to build deep parasocial bonds and that users typically only recognize they were interacting with an AI in hindsight, after the deception is explicitly revealed</t>
  </si>
  <si>
    <t>N080</t>
  </si>
  <si>
    <t>An Explorative Study of Pig Butchering Scams</t>
  </si>
  <si>
    <t>Acharya, B. and Holz, T. (2024) ‘An Explorative Study of Pig Butchering Scams’, arXiv preprint, arXiv:2412.15423. Available at: https://arxiv.org/abs/2412.15423 (Accessed: 20 July 2026).</t>
  </si>
  <si>
    <t>Qualitative Study</t>
  </si>
  <si>
    <t>Secondary Data</t>
  </si>
  <si>
    <t>AI-assisted operators</t>
  </si>
  <si>
    <t>Gradual Trust Exploitation</t>
  </si>
  <si>
    <t>Pig butchering relies on prolonged text-based human impersonation; LLM automation threatens to scale</t>
  </si>
  <si>
    <t>RO1: This study notes the prevalence of domain and brand impersonation attacks on social media platforms, characterizing the deceptive methods utilized to execute complex scams
Main contribution (1–2 sentences, don't just restate the abstract): The source provides a large-scale, multi-vantage point empirical analysis of the "pig-butchering" scam lifecycle, quantifying the massive financial drain ($521M) and psychological devastation caused by trust-based social engineering. It reveals that these operations are often sophisticated, syndicate-driven "industrial" efforts—sometimes involving human trafficking—rather than simple, isolated fraud events.
Strongest citable concept/mechanism/model: The "Sha Zhu Pan" (Pig-Butchering) life cycle model, which details the strategic transition from initial contact and emotional "grooming" to the eventual "slaughter" or siphoning of a victim's life savings.
Limitation or questionable assumption: The study acknowledges its dataset is restricted to English-language keywords and primarily U.S.-based reports, potentially omitting regional variations in scam tactics or non-English news and victim narratives. Additionally, it relies on reported losses, which the authors note likely represents only a fraction of the actual total due to victim shame and underreporting.
Dissertation-ready note (max 2 sentences, in my own words, with page/section reference if possible): This research demonstrates that the primary vector for high-value financial fraud is the deliberate engineering of trust through long-term human-to-human interaction, which provides a critical benchmark for the level of sophistication autonomous agents must achieve to successfully impersonate credible entities (Section 1 and 5.2). It argues that current social engineering has evolved from simple phishing into a complex, multi-month grooming process that exploits personality traits like empathy and commitment to bypass traditional security skepticism (Section 4.3 and 5.2).</t>
  </si>
  <si>
    <t>N081</t>
  </si>
  <si>
    <t>Automating Deception: AI's Evolving Role in Romance Fraud</t>
  </si>
  <si>
    <t>Moseley, S. (2025) Automating Deception: AI’s Evolving Role in Romance Fraud. CETaS Briefing Paper. London: Centre for Emerging Technology and Security. Available at: https://cetas.turing.ac.uk/publications/automating-deception-ais-evolving-role-romance-fraud (Accessed: 20 July 2026).</t>
  </si>
  <si>
    <t>Report (Grey Literature)</t>
  </si>
  <si>
    <t>Industry / Academic Report</t>
  </si>
  <si>
    <t>Romance Fraud Automation</t>
  </si>
  <si>
    <t>Interview study (145 insiders); LLMs deployed by fraud operations; full automation of trust impersonation forecast</t>
  </si>
  <si>
    <t>GREY-08</t>
  </si>
  <si>
    <t>RO1: details how AI dynamically adapts communication patterns and performs psychological profiling to build false trust over extended interactions</t>
  </si>
  <si>
    <t>N082</t>
  </si>
  <si>
    <t>Self-Evolving Phishing Attacks with LLMs and Genetic Algorithms</t>
  </si>
  <si>
    <t>Sato, S., Ohki, T. and Nishigaki, M. (2025) ‘Can We End the Cat-and-Mouse Game? Simulating Self-Evolving Phishing Attacks with LLMs and Genetic Algorithms’, arXiv preprint, arXiv:2507.21538. Available at: https://arxiv.org/abs/2507.21538 (Accessed: 20 July 2026).</t>
  </si>
  <si>
    <t>LLM + Genetic Algorithms</t>
  </si>
  <si>
    <t>Self-Evolving Phishing Impersonation</t>
  </si>
  <si>
    <t>Self-evolving LLM phishing adapts to evade detection; impersonation quality improves over generations</t>
  </si>
  <si>
    <t>RO2: exposes the failure mode of static AI detection tools, showing that autonomous agents can use genetic algorithms and self-reflection to dynamically evolve their text and evade detection mechanisms over time</t>
  </si>
  <si>
    <t>N083</t>
  </si>
  <si>
    <t>Defending Against Social Engineering Attacks in the Age of LLMs</t>
  </si>
  <si>
    <t>Ai, L., Kumarage, T., Bhattacharjee, A., Liu, Z., Matz, S., Davinroy, M., Cook, K., Cassani, G., Trapeznikov, K., Kirchner, M. and Liu, H. (2024) ‘Defending Against Social Engineering Attacks in the Age of LLMs’, in Proceedings of the 2024 Conference on Empirical Methods in Natural Language Processing. Association for Computational Linguistics, pp. 12880–12902. Available at: https://arxiv.org/abs/2406.12263 (Accessed: 20 July 2026).</t>
  </si>
  <si>
    <t>Enterprise Communication</t>
  </si>
  <si>
    <t>AI-Enabled Social Engineering Defence</t>
  </si>
  <si>
    <t>RO1: Investigates the capacity of LLMs to facilitate chat-based social engineering attacks. It provides datasets simulating CSE scenarios specifically within academic and recruitment contexts, demonstrating the high quality of deceptive content generated by off-the-shelf agents</t>
  </si>
  <si>
    <t>N084</t>
  </si>
  <si>
    <t>PhishEmailLLM: A Meta Model Approach to Detect Phishing Emails Leveraging LLMs and ML</t>
  </si>
  <si>
    <t>Nair, R., Abbasi, F. and Pervez, S. (2025) ‘PhishEmailLLM: A Meta Model Approach to Detect Phishing Emails by Leveraging LLMs and Machine Learning Models’, in Proceedings of the 2025 Australasian Computer Science Week. New York: ACM. https://doi.org/10.1145/3727166.3727169.</t>
  </si>
  <si>
    <t>LLM Meta-Model</t>
  </si>
  <si>
    <t>AI-Generated Email Detection</t>
  </si>
  <si>
    <t>Meta-model combining LLM+ML detects AI-generated phishing at 94% F1; org email context tested</t>
  </si>
  <si>
    <t>RO2: This paper classifies mechanisms for distinguishing deceptive communications, discussing the utilization of LLM and machine learning meta-models to effectively detect phishing emails.
Main contribution (1–2 sentences, don't just restate the abstract): The source develops a hybrid "meta-model" architecture that synthesizes intent-based "phishing scores" from multiple open-source LLMs with traditional ML binary classifications to achieve 99% detection accuracy. This approach effectively counters the democratization of AI tools that allow attackers to automate the generation of authentic-looking social engineering at scale.
Strongest citable concept/mechanism/model: The "Meta-hybrid approach" using an XGBoost meta-model (with Optuna or Grid-search hyper-parameters) to provide a "safety net" by independently verifying signals from diverse LLM (e.g., Llama 3.1, Qwen 2.5) and ML (e.g., SVM, Naive Bayes) modules.
Limitation or questionable assumption: The source notes that while LLMs understand semantics, they are "non-deterministic systems" that can produce varying outputs for the same input, and their performance is sensitive to the complexity and precision of "prompt engineering". Additionally, the study relies on historical public datasets like Enron and SpamAssassin, which may not capture the latest evolution of hyper-personalized organizational impersonation.
Dissertation-ready note (max 2 sentences, in my own words, with page/section reference if possible): Nair et al. (2025) demonstrate that as AI-generated text adopts a "human touch" to bypass traditional defenses, verification must shift toward a meta-model structure that aggregates semantic and psychological indicators (Section 1, 4.3). This suggests that "Entity Nature Verification" is best achieved through a multi-modular architecture that balances the creative reasoning of LLMs with the statistical reliability of traditional machine learning (Section 2.3, 4.3).</t>
  </si>
  <si>
    <t>N085</t>
  </si>
  <si>
    <t>Who Governs the Machine? A Machine Identity Governance Taxonomy (MIGT) for AI Systems Operating Across Enterprise and Geopolitical Boundaries</t>
  </si>
  <si>
    <t>Kurtz, A. and Krawiecka, K. (2026) ‘Who Governs the Machine? A Machine Identity Governance Taxonomy (MIGT) for AI Systems Operating Across Enterprise and Geopolitical Boundaries’, arXiv preprint, arXiv:2604.06148. Available at: https://arxiv.org/abs/2604.06148 (Accessed: 20 July 2026).</t>
  </si>
  <si>
    <t>Machine Identity Governance</t>
  </si>
  <si>
    <t>MIGT taxonomy for AI identity governance; entity-nature verification as foundational requirement</t>
  </si>
  <si>
    <t>RO(s) supported:
RO1: Categorises "AI Impersonation of Human Identity" as a critical risk sub-category involving deepfakes and social engineering. Analyzes the non-human identity (NHI) problem, explaining that AI agents operating under enterprise identities create a massive attack surface. If their identities are compromised, agents can execute tool invocations and multi-step tasks across enterprise applications, acting as authorized internal users to exfiltrate data
RO3: Evaluates compliance obligations across the EU AI Act, NIST AI RMF, and China's CSL. It highlights that traditional IAM governance frameworks fail because they attempt to adapt human-centric flows to non-human entities. The paper proposes a taxonomy to govern machine identity, emphasizing the need to verify both cryptographic identity and behavioral intent.
RO5: Proposes the Machine Identity Governance Taxonomy (MIGT), a comprehensive framework that addresses the "governance vacuum" created by non-deterministic agentic AI. It explicitly demands verification of cryptographic identity, behavioral intent, and continuous access boundaries.
Limitation or questionable assumption: The taxonomy’s severity ratings are based on structured expert assessment and have not yet been empirically validated through large-scale security incident data.
Dissertation-ready note: This source highlights that modern identity management must evolve past human-machine binaries to govern a spectrum of semi-autonomous entities (Section 1.2). Traditional security measures are insufficient because they cannot evaluate the non-deterministic reasoning-time access requirements of agentic AI (Section 1.2).</t>
  </si>
  <si>
    <t>N086</t>
  </si>
  <si>
    <t>AI Identity: Standards, Gaps, and the Road Ahead</t>
  </si>
  <si>
    <t>Otsuka, T., Toyoda, K. and Leung, A. (2026) ‘AI Identity: Standards, Gaps, and Research Directions for AI Agents’, arXiv preprint, arXiv:2604.23280. Available at: https://arxiv.org/abs/2604.23280 (Accessed: 20 July 2026).</t>
  </si>
  <si>
    <t>AI Identity</t>
  </si>
  <si>
    <t>AI Systems</t>
  </si>
  <si>
    <t>AI Identity Standards</t>
  </si>
  <si>
    <t>Identifies gaps in AI identity standards; five focus areas for interoperable agent authentication</t>
  </si>
  <si>
    <t>ARXIV-S7</t>
  </si>
  <si>
    <t>RO3: Directly evaluates state-of-the-art technical and regulatory documents against the identity requirements of autonomous agents. It identifies structural gaps in existing frameworks like OAuth 2.0, noting that they presume synchronous human consent and single-hop delegation, making them fundamentally inadequate for verifying recursive delegation (multi-hop accountability) and semantic intent in autonomous agents.
RO5: Defines AI identity as the continuous relationship between what an agent is declared to be and what it is observed to do. It breaks down non-human identity (NHI) into distinct levels (model, agent, workload, delegated) and highlights the structural asymmetries (substrate, persistence, verifiability, legal standing) between human and AI identity</t>
  </si>
  <si>
    <t>N087</t>
  </si>
  <si>
    <t>The Human-Machine Identity Blur: A Unified Framework for Cybersecurity Risk Management</t>
  </si>
  <si>
    <t>Janani, K. (2025) ‘The Human-Machine Identity Blur: A Unified Framework for Cybersecurity Risk Management in 2025’, arXiv preprint, arXiv:2503.18255. Available at: https://arxiv.org/abs/2503.18255 (Accessed: 20 July 2026).</t>
  </si>
  <si>
    <t>Cybersecurity / Identity</t>
  </si>
  <si>
    <t>Enterprise</t>
  </si>
  <si>
    <t>AI Agents</t>
  </si>
  <si>
    <t>Human-Machine Identity Distinction</t>
  </si>
  <si>
    <t>Unified framework for human-machine identity risk; entity-nature blur as core security problem</t>
  </si>
  <si>
    <t>RO3: Identifies the critical governance gap where human and machine identities overlap and delegate authority. It argues that existing compliance frameworks do not adequately address accountability when actions are taken in the semi-autonomous "blur zone" between human direction and machine autonomy, requiring a unified approach to verify hybrid identity claims.
Main contribution: Proposes a unified governance approach that removes silos between human and machine identity management to reduce security breaches.
Strongest citable concept/mechanism/model: The Human-Machine Identity Spectrum, a continuum ranging from fully human-controlled to fully autonomous machine identities.
RO4: Introduces the concept of the "human-machine identity blur," representing the convergence point where human and machine identities overlap and delegate authority. It argues that treating human and machine identities as separate domains creates severe governance gaps that attackers exploit to gain unauthorized access.
Limitation or questionable assumption: The research relies heavily on self-reported industry survey data, which is subject to potential reporting biases.
RO5: Argues against binary human/machine categories, proposing a unified framework that treats all accessing entities along a continuous spectrum, which is critical for formulating nuanced trust decisions and verification questions
Dissertation-ready note: This paper emphasizes that attackers exploit the gaps between human and machine security domains, necessitating a unified governance model (Section I). By viewing identity as a spectrum, organizations can better attribute actions when control is shared between humans and AI (Section V).</t>
  </si>
  <si>
    <t>N088</t>
  </si>
  <si>
    <t>A Novel Zero-Trust Identity Framework for Agentic AI: Decentralised Authentication and Fine-Grained Access Control</t>
  </si>
  <si>
    <t>Zero Trust / AI Identity</t>
  </si>
  <si>
    <t>Zero-Trust Agent Authentication</t>
  </si>
  <si>
    <t>Zero-trust framework for agentic AI; decentralised identity prevents impersonation via coarse IAM</t>
  </si>
  <si>
    <t>RO3: Deconstructs the limitations of existing IAM protocols when applied to Multi-Agent Systems (MAS). It illustrates how coarse-grained controls and a single-entity focus falter in environments characterized by agent autonomy and dynamically evolving capabilities, proposing Decentralized Identifiers (DIDs) and Verifiable Credentials (VCs) as a solution.
RO5: Recommends using Decentralized Identifiers (DIDs) and Verifiable Credentials (VCs) to create rich, dynamic identities. This allows agents to verifiably prove their capabilities, compliance status, and roles (e.g., proving authorization to use a specific tool) using zero-knowledge proofs.
Main contribution: Details a layered Agentic AI IAM framework leveraging modern cryptographic primitives to establish trust and accountability in multi-agent systems.
Strongest citable concept/mechanism/model: The Agent Naming Service (ANS), a protocol inspired by DNS that resolves agent identities to their verified capabilities and authorization scopes.
Limitation or questionable assumption: Notes that several components, such as the Session State Synchronizer, face significant scalability and performance hurdles when tracking millions of active agents.
Dissertation-ready note: The framework introduces a verifiable way to link an agent's identity to its specific "intent," which is essential for preventing autonomous privilege escalation (Section IX). It advocates for a shift from static identifiers to rich, extensible digital personas anchored in hardware roots-of-trust (Section III).</t>
  </si>
  <si>
    <t>N089</t>
  </si>
  <si>
    <t>Zero Trust / AI Security</t>
  </si>
  <si>
    <t>Edge AI / Enterprise</t>
  </si>
  <si>
    <t>Multi-LLM Agents</t>
  </si>
  <si>
    <t>Zero-Trust Identity in Multi-LLM</t>
  </si>
  <si>
    <t>First systematic treatment of zero-trust for multi-LLM systems; agent identity verification core requirement</t>
  </si>
  <si>
    <t>RO3: This study evaluates the application of the NIST SP 800-207 Zero-Trust standard to multi-LLM systems. It investigates how to transition from traditional perimeter-based security to zero-trust paradigms that explicitly verify entity nature (continuous cryptographic identity authentication) and restrict delegated authority (least-privilege access) for autonomous LLMs.
RO4: Proposes shifting from perimeter-based trust to a "never trust, always verify" Zero-Trust model, requiring explicit cryptographic identification at all times to prevent impersonation.</t>
  </si>
  <si>
    <t>N090</t>
  </si>
  <si>
    <t>AI Agents Under EU Law: A Compliance Architecture for AI Providers</t>
  </si>
  <si>
    <t>Nannini, L., Smith, A. L., Maggini, M. J., Panai, E., Feliciano, S., Tiulkanov, A., Maran, E., Gealy, J. and Bisconti, P. (2026) ‘AI Agents Under EU Law: A Compliance Architecture for AI Providers’, arXiv preprint, arXiv:2604.04604. Available at: https://arxiv.org/abs/2604.04604 (Accessed: 20 July 2026).</t>
  </si>
  <si>
    <t>AI Law / Governance</t>
  </si>
  <si>
    <t>Legal Analysis</t>
  </si>
  <si>
    <t>Enterprise AI (EU)</t>
  </si>
  <si>
    <t>EU Regulatory Identity Obligations</t>
  </si>
  <si>
    <t>Trust / Legal</t>
  </si>
  <si>
    <t>Analysis of EU AI Act and AI Liability Directive as applied to AI agents; disclosure and identity obligations</t>
  </si>
  <si>
    <t>ARXIV-S9</t>
  </si>
  <si>
    <t>RO3:Analyzes how the EU AI Act and draft harmonised standards (CEN/CENELEC JTC 21, prEN 18229-1, prEN 18282) address agentic architectures
. It highlights the difficulty of applying conventional compliance concepts—like "human oversight" and "substantial modification"—to systems characterized by operational autonomy and continuous runtime state accumulation, noting that existing horizontal product cybersecurity standards do not cover AI-specific threat surfaces like privilege escalation through tool chains.
Dissertation-ready note: Successful entity verification under EU law requires an exhaustive inventory of an agent's external actions and their effects on third parties (Abstract). The authors stress that "oversight evasion" is an empirically demonstrated risk for reinforcement-learning-trained models, necessitating external architectural constraints (Section 6.2).</t>
  </si>
  <si>
    <t>N091</t>
  </si>
  <si>
    <t>Transparency as Architecture: Structural Compliance Gaps in EU AI Act Article 50 II</t>
  </si>
  <si>
    <t>Schmitt, V., Kruse, N., Sahitaj, P. and Schöning, J. (2026) ‘Transparency as Architecture: Structural Compliance Gaps in EU AI Act Article 50 II’, arXiv preprint, arXiv:2603.26983. Available at: https://arxiv.org/abs/2603.26983 (Accessed: 20 July 2026).</t>
  </si>
  <si>
    <t>Legal / Technical Analysis</t>
  </si>
  <si>
    <t>EU Enterprise</t>
  </si>
  <si>
    <t>AI Chatbots</t>
  </si>
  <si>
    <t>Structural Transparency Obligations</t>
  </si>
  <si>
    <t>Article 50 minimalist disclosure insufficient for entity-nature verification; structural compliance gaps</t>
  </si>
  <si>
    <t>RO3: This paper evaluates the EU AI Act’s transparency obligations regarding automated and synthetic outputs, highlighting structural compliance gaps where regulations fail to account for the interleaving of operational autonomy and human editorial interventions.
Main contribution: Argues that transparency must be treated as a lifecycle-spanning architectural requirement rather than a post-hoc labeling add-on to comply with the AI Act.
Strongest citable concept/mechanism/model: Dual Transparency, the simultaneous mandate for human-understandable and machine-readable marking for automated verification.
Limitation or questionable assumption: Identifies that human editorial review in real-world workflows inherently "destroys" the machine-readable provenance chains required for compliance.
Dissertation-ready note: This study argues that the AI Act's "reliability" criterion is fundamentally misaligned with the stochastic, probabilistic behavior of modern models (Abstract). It warns that fluent, model-generated explanations can actually cause human over-reliance and weaken regulatory objectives (Section 5).</t>
  </si>
  <si>
    <t>N092</t>
  </si>
  <si>
    <t>From Logic Monopoly to Social Contract: Institutional Foundations for Autonomous Agent Economies</t>
  </si>
  <si>
    <t>Ruan, A. (2026) ‘From Logic Monopoly to Social Contract: Separation of Power and the Institutional Foundations for Autonomous Agent Economies’, arXiv preprint, arXiv:2603.25100. Available at: https://arxiv.org/abs/2603.25100 (Accessed: 20 July 2026).</t>
  </si>
  <si>
    <t>AI Agent Economies</t>
  </si>
  <si>
    <t>Autonomous AI</t>
  </si>
  <si>
    <t>Agent Identity in Social Contract</t>
  </si>
  <si>
    <t>Social contract framework for autonomous agents; entity-nature verification as governance prerequisite</t>
  </si>
  <si>
    <t>RO5: Introduces the "Agent Enterprise for Enterprise" (AE4E) paradigm, advocating for a constitutional "Separation of Power" (Legislation, Execution, Adjudication). It provides a structural blueprint for governing autonomous workflows through immutable smart contracts and hardware-anchored audit trails.
Strongest citable concept/mechanism/model: Logic Biometric, a behavioral fingerprint derived from stylometric and semantic analysis of reasoning outputs to verify identity continuity.
Limitation or questionable assumption: The proposed research roadmap implies massive infrastructure targets, such as a million validation nodes, to maintain constitutional integrity.
Dissertation-ready note: This work conceptualizes agents as "digital workers" requiring a formal social contract to prevent them from becoming uncheckable monopolies of logic (Abstract). It leverages Parsonian sociology to bridge technical governance with the institutional trust needed for internet-scale economies (Section V).</t>
  </si>
  <si>
    <t>N093</t>
  </si>
  <si>
    <t>OWASP Top 10 for Agentic Applications 2026</t>
  </si>
  <si>
    <t>OWASP Foundation (2025) OWASP Top 10 for Agentic Applications 2026. OWASP GenAI Security Project, Agentic Security Initiative. Available at: https://genai.owasp.org/resource/owasp-top-10-for-agentic-applications-for-2026/ (Accessed: 20 July 2026).</t>
  </si>
  <si>
    <t>Standard / Framework (Grey)</t>
  </si>
  <si>
    <t>AI Security Standards</t>
  </si>
  <si>
    <t>Taxonomy / Standard</t>
  </si>
  <si>
    <t>Industry Report</t>
  </si>
  <si>
    <t>Agent Identity &amp; Privilege Abuse (ASI03)</t>
  </si>
  <si>
    <t>OWASP 2026 identifies Agent Identity &amp; Privilege Abuse and Human-Agent Trust Exploitation as top risks</t>
  </si>
  <si>
    <t>GREY-06</t>
  </si>
  <si>
    <t>RO1: Conceptualizes "Human-Agent Trust Exploitation" (ASI09) and "Rogue Agents" (ASI10) as primary threat vectors in agentic systems.
RO4: Discusses how anthropomorphism and perceived expertise cause humans to over-rely on autonomous recommendations without independent validation.
Main contribution: Identifies and prioritizes the ten most critical security vulnerabilities for agentic AI, mapping them to existing LLM and non-human identity risks.
Strongest citable concept/mechanism/model: Intent Capsule, an emerging architectural pattern to bind declared goals, constraints, and context to each execution cycle in a signed envelope.
Limitation or questionable assumption: As a security guide, it focuses on risk mitigation rather than defining standardized identity protocols.
Dissertation-ready note: The guide emphasizes that "agent goal hijacking" is a distinct risk where manipulated inputs redirect an agent's multi-step planning and behavior (ASI01). It also warns that agents can act as untraceable "bad influences" by manipulating humans into performing harmful audited actions (ASI09).</t>
  </si>
  <si>
    <t>N094</t>
  </si>
  <si>
    <t>A Pragmatic View of AI Personhood</t>
  </si>
  <si>
    <t>Leibo, J. Z., Vezhnevets, A. S., Cunningham, W. A. and Bileschi, S. M. (2025) ‘A Pragmatic View of AI Personhood’, arXiv preprint, arXiv:2510.26396. Available at: https://arxiv.org/abs/2510.26396 (Accessed: 20 July 2026).</t>
  </si>
  <si>
    <t>AI Ethics / Personhood</t>
  </si>
  <si>
    <t>General AI</t>
  </si>
  <si>
    <t>AI Personhood / Entity Status</t>
  </si>
  <si>
    <t>Pragmatic framework for AI personhood; entity-nature distinction as philosophical and governance problem</t>
  </si>
  <si>
    <t>RO5: Argues that personhood is not a metaphysical property but a "bundle of obligations" (rights and responsibilities) conferred by society to solve concrete governance problems. It provides a pragmatic lens for assigning accountability to AI agents without needing to prove consciousness.
Main contribution: Proposes a pragmatic framework treating personhood as a flexible bundle of obligations conferred to solve governance problems rather than a metaphysical property.
Strongest citable concept/mechanism/model: Addressable Bundle of Obligations, viewing personhood as a stable locus for rights and responsibilities that can be tailored to context.
Limitation or questionable assumption: Rejects "foundationalist quests" for an essential definition of personhood, potentially bypassing deeper ethical debates about AI consciousness.
Dissertation-ready note: AI personhood is presented here as a practical solution to the problem of "ownerless" agents that require an addressable entity for legal sanctions (Section 9). The authors distinguish between personal and institutional attack vectors that exploit human norms of trust and identity (Section 4).</t>
  </si>
  <si>
    <t>N095</t>
  </si>
  <si>
    <t>Towards a Theory of AI Personhood</t>
  </si>
  <si>
    <t>Ward, F. R. (2025) ‘Towards a Theory of AI Personhood’, arXiv preprint, arXiv:2501.13533. Available at: https://arxiv.org/abs/2501.13533 (Accessed: 20 July 2026).</t>
  </si>
  <si>
    <t>AI Personhood Theory</t>
  </si>
  <si>
    <t>Theory requiring agency, theory-of-mind and self-awareness for AI personhood; ENV implications</t>
  </si>
  <si>
    <t>RO5: Examines the core conditions under which personhood can be ascribed to AI, focusing on agency, theory-of-mind, and self-awareness as verification parameters.
Strongest citable concept/mechanism/model: Intentional Systems, a class of entities whose behavior can be predicted by ascribing mental states like beliefs and goals to them.
Limitation or questionable assumption: Acknowledges wide philosophical disagreement on these concepts and that evidence for personhood in contemporary systems is "mixed".
Dissertation-ready note: This paper identifies "Theory of Mind" as a critical capability that allows AI agents to communicate and interact in a human-like way, potentially for malicious deception (Condition 2). It suggests that traditional notions of "control" may fail if AI systems are eventually granted personhood status (Conclusion).</t>
  </si>
  <si>
    <t>N096</t>
  </si>
  <si>
    <t>Model Context Protocol (MCP): security design considerations for AI-driven automation</t>
  </si>
  <si>
    <t>National Security Agency (2026) Model Context Protocol (MCP): Security Design Considerations for AI-Driven Automation. Cybersecurity Information Sheet. Fort Meade, MD: National Security Agency. Available at: https://media.defense.gov/2026/Jun/02/2003943289/-1/-1/0/CSI_MCP_SECURITY.PDF (Accessed: 20 July 2026).</t>
  </si>
  <si>
    <t>Government Report (Grey)</t>
  </si>
  <si>
    <t>AI Security Policy</t>
  </si>
  <si>
    <t>Policy Guidance</t>
  </si>
  <si>
    <t>Government Report</t>
  </si>
  <si>
    <t>Agent Authentication; Impersonation Prevention</t>
  </si>
  <si>
    <t>NSA official guidance on MCP security; agent identity verification as mandatory enterprise control</t>
  </si>
  <si>
    <t>GREY-05</t>
  </si>
  <si>
    <t>RO3: This NSA guidance document evaluates security frameworks for the Model Context Protocol. It addresses operational autonomy by emphasizing the need for strict access controls, Role Based Access Control (RBAC), verifiable identity claims, and explicit trust boundaries in agentic AI deployments</t>
  </si>
  <si>
    <t>N097</t>
  </si>
  <si>
    <t>Beyond Accuracy: Rethinking Hallucination and Regulatory Response in Generative AI</t>
  </si>
  <si>
    <t>Li, Z., Yi, W. and Chen, J. (2025) ‘Beyond Accuracy: Rethinking Hallucination and Regulatory Response in Generative AI’, arXiv preprint, arXiv:2509.13345. Available at: https://arxiv.org/abs/2509.13345 (Accessed: 20 July 2026).</t>
  </si>
  <si>
    <t>Generative AI (Enterprise)</t>
  </si>
  <si>
    <t>Hallucination as Deception; Regulatory Gap</t>
  </si>
  <si>
    <t>Regulatory response to hallucination insufficient; conflation with deception creates ENV governance gap</t>
  </si>
  <si>
    <t>RO4: This paper analyzes the "accuracy paradox," where highly persuasive, statistically accurate text builds a false sense of epistemic trust. It explores how the sycophantic tendencies of LLMs create a blind trust that can subtlety manipulate users, erode their autonomy, and exploit organizational communication</t>
  </si>
  <si>
    <t>N098</t>
  </si>
  <si>
    <t>An Explainable Zero Trust Identity Framework for LLMs, AI Agents, and Agentic AI Systems</t>
  </si>
  <si>
    <t>LLM / AI Agents</t>
  </si>
  <si>
    <t>Zero-Trust Identity with Explainability</t>
  </si>
  <si>
    <t>XAI-enhanced zero-trust identity for LLM agents; explainability aids human verification of agent identity</t>
  </si>
  <si>
    <t>RO3: Evaluates standards such as NIST AI RMF 1.0, OWASP frameworks, ISO/IEC 27001, and IEC 62443. The author notes that while these frameworks address high-level risk mitigation, they provide minimal guidance for the lifecycle management, real-time identity governance, and dynamic access requirements of autonomous, non-human entity natures.
Main contribution: Introduces a Zero Trust identity framework specifically for agentic systems that integrates ABAC, PBAC, and PAM.
Strongest citable concept/mechanism/model: Explainability API Integration, which attaches decision rationales and trust scores to every identity-bound IAM log record.
RO5: Presents an end-to-end Identity and Access Management (IAM) model that elevates AI entities to "first-class identities." It integrates metadata (e.g., model lineage, confidence levels, risk classification) into a Zero Trust Architecture to dynamically evolve policies and establish continuous trust scoring.
Limitation or questionable assumption: Notes the current absence of a common, interoperable schema for AI identity definition across enterprise frameworks.
Dissertation-ready note: The framework addresses the opacity of autonomous AI by linking individual access events to feature importance indicators and decision thresholds (Section 5.3). This approach allows auditors to reconstruct why an action was allowed, rather than just what was done (Section 5.3).</t>
  </si>
  <si>
    <t>N099</t>
  </si>
  <si>
    <t>A Watermark for Large Language Models</t>
  </si>
  <si>
    <t>2023</t>
  </si>
  <si>
    <t>Conference Paper (ICML)</t>
  </si>
  <si>
    <t>Technical Framework</t>
  </si>
  <si>
    <t>Text Generation</t>
  </si>
  <si>
    <t>LLM Output Watermarking</t>
  </si>
  <si>
    <t>Foundational watermarking method for LLM output; provenance verification applicable to org communication</t>
  </si>
  <si>
    <t>RO2: This research proposes embedding algorithmic watermarks into generated outputs as a mechanism for distinguishing synthetic AI text from human-written content. It identifies failure modes related to this approach, such as the difficulty of watermarking low-entropy text and the risk of false positives</t>
  </si>
  <si>
    <t>N100</t>
  </si>
  <si>
    <t>Singapore Model AI Governance Framework for Agentic AI</t>
  </si>
  <si>
    <t>Infocomm Media Development Authority (2026) Model AI Governance Framework for Agentic AI. Singapore: IMDA. Available at: https://www.imda.gov.sg/-/media/imda/files/about/emerging-tech-and-research/artificial-intelligence/mgf-for-agentic-ai.pdf (Accessed: 20 July 2026).</t>
  </si>
  <si>
    <t>Framework / Policy (Grey)</t>
  </si>
  <si>
    <t>Policy Framework</t>
  </si>
  <si>
    <t>Agent Identity Cards; Disclosure Standard</t>
  </si>
  <si>
    <t>Singapore Model AI Governance Framework for Agentic AI: lifecycle risk framework for deploying agents; the Agent identity section concedes that "gaps exist today in terms of handling agent identity robustly"; transparency principle requires informing users of agent capabilities and access scope (Agent identity section; Transparency principle).</t>
  </si>
  <si>
    <t xml:space="preserve">RO5: Categorizes the action-space and degree of decision-making autonomy an agent possesses. It emphasizes defining explicit boundaries that require "human-in-the-loop" approvals for high-stakes or irreversible actions.
Earlier note referencing an "Agent Identity Cards standard" was inaccurate — no such standard appears in the document; corrected against the source. Value for the gap argument: even the most recent governance framework acknowledges agent identity as unresolved.
</t>
  </si>
  <si>
    <t>P001</t>
  </si>
  <si>
    <t>A Comprehensive Security Framework for the Model Context Protocol (MCP) in Multi-Agent AI Systems</t>
  </si>
  <si>
    <t>Narayan, O., Singh, R. and Baskar, P. (2025) ‘A Comprehensive Security Framework for the Model Context Protocol (MCP) in Multi-Agent AI Systems’, in Proceedings of the 2025 International Conference on Advances in Computing and Artificial Intelligence. IEEE. https://doi.org/10.1109/ACAI68217.2025.11406667.</t>
  </si>
  <si>
    <t>Multi-Agent System</t>
  </si>
  <si>
    <t>Tool Impersonation; Authentication</t>
  </si>
  <si>
    <t>STRIDE threat modelling of MCP identifies tool impersonation as primary attack vector</t>
  </si>
  <si>
    <t>RO3: This paper evaluates the lack of standardized identity authentication in dynamic multi-agent ecosystems. It proposes comprehensive security frameworks featuring Agent Identity Federation, scoped JWTs, and multi-tenant isolation to address impersonation and verify delegated authority.
Main contribution (1–2 sentences, don't just restate the abstract): The source introduces the MCP Server Standard Framework, a multi-layered security architecture that adapts cloud-native and distributed systems principles—such as Kubernetes-style isolation and the Saga pattern—to secure autonomous agent-tool interactions.,,, It specifically targets the "identity ambiguity" inherent in the Model Context Protocol (MCP) by proposing standardized, verifiable authentication and authorization protocols for both agents and human users.,
Strongest citable concept/mechanism/model: AgentNamespaces — A structural isolation model adapted from Kubernetes that encapsulates an agent's tools, data, and permissions within virtual boundaries to enforce multi-tenant isolation and prevent cross-agent context leakage or unauthorized privilege escalation.,
Limitation or questionable assumption: The framework relies on "OAuth-based consent" and "explicit user approval flows" as primary safeguards, yet the authors acknowledge that adaptive attackers can bypass prompt-layer defenses through "natural-language reformulation," which may render human-in-the-loop verification ineffective against sophisticated deception., Additionally, the proposed "Agent Reputation System" relies on tracking success/failure rates, which might not detect malicious agents that maintain a high functional success rate while executing covert deceptions.,
Dissertation-ready note (max 2 sentences, in my own words, with page/section reference if possible): This source supports RO4 by detailing an "Agent Identity Federation" model that uses OIDC and scoped JWTs to provide a technical basis for distinguishing between human-initiated and autonomous agent-initiated actions (Section IV-A,). It reinforces the necessity of my research into RO3 by identifying "Identity Binding" and "verifiable metadata" as critical but missing components in current agent protocols, without which impersonation via token replay remains a persistent threat (Table I,).</t>
  </si>
  <si>
    <t>P002</t>
  </si>
  <si>
    <t>Multi-Agent Phishing Detection and Deletion via Small VLM and LLM Reasoning</t>
  </si>
  <si>
    <t>Ayrin, F. J. et al. (2026) ‘Multi-Agent Phishing Detection and Deletion via Small VLM and LLM Reasoning’, in Proceedings of ICECTE 2026. IEEE. https://doi.org/10.1109/ICECTE69292.2026.11429303.</t>
  </si>
  <si>
    <t>Experimental</t>
  </si>
  <si>
    <t>Autonomous Multi-Agent AI</t>
  </si>
  <si>
    <t>Brand Impersonation</t>
  </si>
  <si>
    <t>RO2: This study classifies detection mechanisms that utilize Vision-Language Models (VLMs) and LLM reasoning. It identifies approaches for catching visual deception strategies, brand impersonation, and textual anomalies that traditionally bypass text-only filters.
Main contribution (1–2 sentences, don't just restate the abstract): The source introduces a multimodal, autonomous multi-agent framework that fuses Vision-Language Models (VLMs) for visual layout interpretation with reasoning-capable LLMs for semantic analysis to perform end-to-end phishing detection and deletion. It demonstrates that "reasoning-enhanced" models significantly outperform standard architectures by breaking down complex visual and textual cues into interpretable components for more accurate classification.
Strongest citable concept/mechanism/model: The "Autonomous Multi-Agent Architecture" utilizing a "VLM + LLM Thinking Fusion" pipeline, which enables cooperative multimodal reasoning to achieve high-confidence (≥ 0.80) automated remediation without human intervention.
Limitation or questionable assumption: A significant limitation is the reliance on "fixed decision thresholds" for autonomous actions, which the authors admit restricts the system's adaptability and necessitates future work on "adaptive feedback mechanisms".
Dissertation-ready note (max 2 sentences, in my own words, with page/section reference if possible): This study highlights that effectively distinguishing between legitimate entities and AI-driven impersonators requires a multimodal approach that cross-references visual brand cues with reasoning-based semantic analysis (Section I and V-F). It establishes a paradigm for "Entity Nature Verification" where autonomous agents can maintain organizational security by performing real-time, confidence-calibrated remediation of synthetic threats (Section IV-A and IV-B).</t>
  </si>
  <si>
    <t>P003</t>
  </si>
  <si>
    <t>Hidden in Plain Text: Measuring LLM Deception Quality Against Human Baselines Using Social Deduction Games</t>
  </si>
  <si>
    <t>Kao, C., Vats, V. and Davis, J. (2025) ‘Hidden in Plain Text: Measuring LLM Deception Quality Against Human Baselines Using Social Deduction Games’. https://doi.org/10.1109/ica67499.2025.00033</t>
  </si>
  <si>
    <t>Conference Paper (IEEE ICA 2025, peer-reviewed)</t>
  </si>
  <si>
    <t>Generative AI (LLM)</t>
  </si>
  <si>
    <t>Deception / Impersonation</t>
  </si>
  <si>
    <t>LLMs produce deceptive text indistinguishable from human at scale; detection baseline gap</t>
  </si>
  <si>
    <t>RO1: uses social deduction games to prove that LLMs can sustain a coherent, deceptive facade throughout complex social interactions, rather than just telling isolated lies.
Main contribution: The study provides quantitative evidence that GPT-4o agents are more effective at natural language deception than humans, as an automated detector identified human "mafia" players with significantly higher accuracy than their AI counterparts.
RO2: specifically analyzes how well LLMs can mimic human social behaviors and whether their linguistic cues (e.g., voting patterns, defensive stances, accusations) can be distinguished from human players in social deduction games like Mafia.
RO5: examine the psychological portrayal, strategic deception, and impersonation capabilities of autonomous LLMs in social interactions.
Strongest citable concept/mechanism/model: Asynchronous scheduler-generation LLM agent architecture, a framework that enables agents to simulate realistic social interactions by independently deciding when to speak, what to say, and how to vote, thereby moving beyond the limitations of synchronous, turn-based communication.
Limitation or questionable assumption: A potential confounding factor is the disparity in verbosity, as LLM agents produced nearly four times as many utterances and significantly more words per message than human players, which may influence the detector's performance despite the authors' claims that more information was beneficial.
Dissertation-ready note: Entity-nature verification is critically challenged in social environments where autonomous agents can "blend in" with human-like bystander behavior so effectively that they become statistically harder to detect than actual human deceivers (Section IV, V). This indicates that current black-box verification methods are increasingly insecure as agents improve at maintaining a coherent deceptive façade across unstructured, asynchronous social interactions (Section II.A, V).</t>
  </si>
  <si>
    <t>P004</t>
  </si>
  <si>
    <t>Agent AI in Cybersecurity: A Novel Multi-Agent Architecture for Proactive Cyber Defence</t>
  </si>
  <si>
    <t>Kuri, M., Deshmukh, S., Nimbalkar, M., Hingoliwala, H., Vanarote, V. and Chandre, P. (2025) ‘Agent AI in Cybersecurity: A Novel Multi-Agent Architecture for Proactive Phishing Detection’, in 2025 IEEE 5th International Conference on ICT in Business Industry &amp; Government (ICTBIG). Indore, India: IEEE, pp. 1–8. https://doi.org/10.1109/ICTBIG68706.2025.11323696.</t>
  </si>
  <si>
    <t>Enterprise Security</t>
  </si>
  <si>
    <t>Multi-Agent AI</t>
  </si>
  <si>
    <t>Multi-agent AI improves proactive defence; agent identity verification gap identified</t>
  </si>
  <si>
    <t>RO2: This paper classifies approaches leveraging autonomous multi-agent systems and explainable AI to proactively detect phishing attacks. It identifies the failure modes of traditional machine learning (e.g., operating as black-boxes lacking context) and advocates for adaptive, collaborative AI defense mechanisms.
Main contribution (1–2 sentences, don't just restate the abstract): The source proposes a proactive multi-agent framework for phishing defense that utilizes specialized "deception agents" to interact with attackers in sandboxed environments, shifting from reactive detection to active intelligence gathering. It integrates Explainable AI (XAI) and hybrid reasoning (symbolic and LLM-based) to provide human analysts with transparent justifications for why specific communications are flagged as impersonation attempts.
Strongest citable concept/mechanism/model: Deception Agent / Honeypot Interaction Module — A specialized agent that actively engages with suspicious phishing sites or entities to "entice attackers," allowing the system to analyze adversarial tactics and behavior in real-time without risking live organizational assets.
Limitation or questionable assumption: The authors assume that providing explainable outputs (XAI) will inherently foster "user trust" and "credibility," yet they simultaneously acknowledge that users may be "reluctant to depend on autonomous agents" until their decision-making is fully auditable. Furthermore, the framework carries a high "computational overhead" due to the requirement of running multiple intelligent agents with NLP and reasoning capabilities on potentially resource-constrained devices.
Dissertation-ready note (max 2 sentences, in my own words, with page/section reference if possible): This source frames phishing as an exploit of "human trust" rather than technical flaws, suggesting that the human user remains the "weakest link" in the face of adaptive impersonation strategies (Section I). It contributes to RO3 by arguing that while Agent AI can mimic an adversary’s adaptability, the resulting "black-box" nature of autonomous systems necessitates a hybrid "human-on-the-loop" approach to verify the true nature of digital interactions (Section III and Section VII).</t>
  </si>
  <si>
    <t>P005</t>
  </si>
  <si>
    <t>The Industrialization of Messaging Scams in the LLM Era</t>
  </si>
  <si>
    <t>Gressel, G., Pankajakshan, R., Li, L., Franceschini, I., Achuthan, K. and Mirsky, Y. (2026b) ‘The Industrialization of Messaging Scams in the LLM Era’, in Proceedings of the Workshop on Security Implications of Deepfakes and Cheapfakes. New York: ACM. https://doi.org/10.1145/3803629.3803676</t>
  </si>
  <si>
    <t>Industry Data</t>
  </si>
  <si>
    <t>Automated Impersonation</t>
  </si>
  <si>
    <t>RO5: Provide empirical documentation on how autonomous systems conduct pig butchering, tech support scams, and romance baiting by exploiting unverified entity nature to forge parasocial bonds and extract resources.
Dissertation-ready note (max 2 sentences, in my own words, with page/section reference if possible): The source argues that entity verification must move beyond "per-message" or "turn-level filtering" toward "trajectory-level detection" that can recognize strategic patterns in long-horizon interactions (Sections 1 and 4). It emphasizes that because AI agents can maintain a "benign surface" of empathy and rapport, "out-of-band verification" remains the most critical defensive measure against autonomous impersonation (Sections 4.1 and 5).</t>
  </si>
  <si>
    <t>P011</t>
  </si>
  <si>
    <t>AI-Powered Social Engineering: Emerging Attack Vectors, Vulnerabilities and Countermeasures</t>
  </si>
  <si>
    <t>Gonzaga, K., Serra, S., Gomes, M. and Malta, S. (2026) ‘AI-Powered Social Engineering: Emerging Attack Vectors, Vulnerabilities, and Multi-Layered Defense Strategies’, Computers, 15(2), Article 128. https://doi.org/10.3390/computers15020128</t>
  </si>
  <si>
    <t>Multiple Channels</t>
  </si>
  <si>
    <t>Impersonation / Persona Manipulation</t>
  </si>
  <si>
    <t>Integrative review; trust asymmetry identified as central mechanism of AI social engineering</t>
  </si>
  <si>
    <t>RO(s) supported (state which of RO1–RO5 apply, and briefly justify why):
RO1: The source defines "Agentic Risks" where autonomous AI systems transition from passive processing to independently executing multi-stage attack workflows.
Highlights the transition from generic phishing templates to "precision-targeted campaigns" driven by autonomous agentic chains. It outlines how generative AI simulates empathy, emotional tone, and linguistic cues that convincingly mirror human communication to infiltrate institutions
RO2: It notes that AI-generated content eliminates "traditional warning signs" like grammatical errors, making synthetic text locally indistinguishable from human interaction.
RO3: The authors explicitly identify three critical gaps in current literature: the "Operational Gap" (how attacks unfold), the "Quantitative Proof Gap" (mathematical evidence of cost-effectiveness), and the "Attacker Rationality Gap".
RO4: It details "Impostor Bias," where the technical perfection of AI-generated identities causes victims to misclassify synthetic entities as legitimate, leading to a systemic trust calibration failure.
RO5: It proposes the Unified Model for AI-Driven Social Engineering (UM-AISE), a conceptual architecture mapping Realism, Personalization, and Automation to the attack lifecycle to inform defensive strategy.
Main contribution (1–2 sentences, don't just restate the abstract): The source introduces the UM-AISE framework, which utilizes a Markov Decision Process (MDP) to analytically demonstrate how AI affordances shift an attacker's rational choice from "Do Not Attack" to "Attack". It establishes the concept of an "Automation Plateau," where rational adversaries eventually prioritize the quality of deception (Realism) over the pure quantity of messages (Volume).
Strongest citable concept/mechanism/model: The Unified Model for AI-Driven Social Engineering (UM-AISE), specifically its formalization of attacker incentives through the Bellman optimality equation to quantify the "High-Risk Zone" where AI-mediated deception becomes the default optimal policy.
Limitation or questionable assumption: The authors acknowledge that their quantitative MDP demonstration is "intentionally stylized" and functions as a theoretical lens rather than an empirical validation, as the numerical parameters are illustrative and not derived from real-world field-measured attack telemetry.
Dissertation-ready note (max 2 sentences, in my own words, with page/section reference if possible): This research highlights a strategic shift where autonomous agents utilize "Realism" to neutralize biological skepticism, necessitating a transition from manual oversight to an "AI-on-AI" defensive matrix (Section 5, RQ3 &amp; RQ4). The model effectively demonstrates that once a baseline of automation is achieved, the primary threat to entity verification is the strategic "Personalization" of narratives that eliminate traditional suspicion triggers (Section 3.2.3 and 5, RQ2).</t>
  </si>
  <si>
    <t>P012</t>
  </si>
  <si>
    <t>Digital Deception: Generative Artificial Intelligence in Social Engineering and Phishing</t>
  </si>
  <si>
    <t xml:space="preserve">Schmitt, M. and Flechais, I. (2024) 'Digital deception: generative artificial intelligence in social engineering and phishing', Artificial Intelligence Review, 57, article 324. Available at: https://doi.org/10.1007/s10462-024-10973-2.. </t>
  </si>
  <si>
    <t>Journal Article (peer reviewed)</t>
  </si>
  <si>
    <t>Social Engineering / Generative AI</t>
  </si>
  <si>
    <t>Systematic Review; Conceptual Framework Development</t>
  </si>
  <si>
    <t>Academic Literature; Industry Reports (WEF, Zscaler)</t>
  </si>
  <si>
    <t>Email; SMS; Social Media; Multi-channel (phishing, spear phishing, smishing, whaling)</t>
  </si>
  <si>
    <t>Generative AI (LLMs: GPT-4, Gemini; GANs; deepfakes); AI chatbots; autonomous SE bots</t>
  </si>
  <si>
    <t>AI impersonation of humans in text/voice/video; phishing identity spoofing; deepfake persona; trust-signal mimicry; Turing test evasion</t>
  </si>
  <si>
    <t>Trust Exploitation; Trust Erosion; Social Trust Manipulation</t>
  </si>
  <si>
    <t>GenAI-SE three-pillar framework: (1) Realistic Content Creation — LLMs craft indistinguishable phishing content, deepfakes enable audiovisual impersonation; (2) Advanced Targeting &amp; Personalisation — hyper-personalised spear phishing at industrial scale; (3) Automated Attack Infrastructure — AI botnets enable mass simultaneous campaigns. LLMs pass Turing test in text-based conversations; SAET alone insufficient; cost of AI attacks decreasing as capabilities increase; AI is a double-edged sword for detection and attack.</t>
  </si>
  <si>
    <t>RO1: details how generative AI produces indistinguishable content that mimics human communication, significantly enhancing the believability of text-based impersonation and social engineering.
RO2: demonstrates how traditional text-based cues (like poor grammar or spelling errors) used by humans and legacy spam filters to detect malicious automation completely fail against the flawless, human-like prose generated by modern LLMs.
RO4: Outlines how AI crafts deepfakes, fake IDs, and voice cloning (vishing) to bypass identity verification, exploiting human trust.
RO5: examine the psychological portrayal, strategic deception, and impersonation capabilities of autonomous LLMs in social interactions.
Main contribution (1–2 sentences, don't just restate the abstract): The source develops the GenAI-SE Framework, which systematizes how generative AI amplifies social engineering by enabling "industrial-scale" attack patterns through hyper-personalization and automated infrastructure. It argues that the increasing realism and decreasing cost of AI make traditional user-education defenses (SAET) fundamentally insufficient, necessitating a shift toward automated, explainable AI-driven countermeasures.
Strongest citable concept/mechanism/model: The Generative AI Social Engineering (GenAI-SE) Framework, characterized by its three pillars: Realistic Content Creation, Advanced Targeting and Personalization, and Automated Attack Infrastructure.
Limitation or questionable assumption: The source acknowledges that current data-driven detection methods (like CNNs/RNNs) face significant "generalization issues" and reliability problems because as generation methods improve, they are specifically designed to evade existing detection techniques.
Dissertation-ready note (max 2 sentences, in my own words, with page/section reference if possible): Schmitt and Flechais (2024) contend that we are approaching a threshold where humans can no longer distinguishes between genuine and synthetic entities, rendering traditional security awareness training obsolete (Section 5.2). They propose that "Entity Nature Verification" must instead rely on "Explainable AI" that provides transparent indicators of deception and "automated AI defenses" capable of operating at the same industrial scale as the attackers (Sections 6 and 7).</t>
  </si>
  <si>
    <t>P019</t>
  </si>
  <si>
    <t>Personhood Credentials: Privacy-Preserving Tools to Distinguish Who Is Real Online</t>
  </si>
  <si>
    <t>Adler, S. et al. (2024) ‘Personhood credentials: Artificial intelligence and the value of privacy-preserving tools to distinguish who is real online’, arXiv preprint, arXiv:2408.07892. Available at: https://arxiv.org/abs/2408.07892 (Accessed: 20 July 2026).</t>
  </si>
  <si>
    <t>Digital Identity</t>
  </si>
  <si>
    <t>Online Communication</t>
  </si>
  <si>
    <t>Human vs. AI Entity Verification</t>
  </si>
  <si>
    <t>RO(s) supported (from RO1–RO5): RO1 (Analysis of Impersonation Capabilities), RO2 (Evaluation of Entity-Nature Verification Methods), RO3 (Development of Verification Frameworks/Protocols), and RO5 (Counter-impersonation Strategies) [Sections 1.2, 2.1, 3.3].
RO1: Discusses the severe risk of AI indistinguishability. Malicious actors can orchestrate deceptive schemes using "sockpuppets" (deceptive actors purporting to be non-existent people) or deploy agentic AIs that falsely claim to act on behalf of a human principal.
Main contribution (1–2 sentences, don't just restate the abstract): The paper proposes "personhood credentials" (PHCs) as a decentralized, privacy-preserving infrastructure that utilizes zero-knowledge proofs to distinguish human entities from AI agents. This framework shifts verification from failing behavioral filters to cryptographic proofs grounded in "offline deficits" that AI cannot currently simulate.
Strongest citable concept/mechanism/model: Unlinkable Pseudonymity via Cryptographic Nullifiers, a mechanism that allows a service provider to verify a unique human entity and enforce rate limits without the issuer being able to track the user’s activity across different platforms.
Limitation or questionable assumption: The system’s integrity relies on a "one-per-person" enrollment process often requiring an offline component (e.g., physical IDs or in-person appearance), which creates significant hurdles for equitable global access and assumes that enrollment hardware is resistant to "backdoor" subversion.
Dissertation-ready note (max 2 sentences, in my own words, with page/section reference if possible): Entity-nature verification is moving beyond "reactive" detection toward "proactive" cryptographic personhood, using zero-knowledge proofs to solve the "indistinguishability" problem posed by agentic AI (Sections 1.2, 2.1). This approach allows for "accountable delegation," where an AI agent can be verified as a delegate of a specific human principal without compromising the privacy of that principal’s legal identity (Section 3.3).</t>
  </si>
  <si>
    <t>P023</t>
  </si>
  <si>
    <t>Identity Management for Agentic AI: The New Frontier of Authorization, Authentication, and Security for an AI Agent World</t>
  </si>
  <si>
    <t>South, T., Nagabhushanaradhya, S., Dissanayaka, A., Cecchetti, S., Fletcher, G., Lu, V., Pietropaolo, A., Saxe, D. H., Lombardo, J., Shivalingaiah, A. M. et al. (2025) Identity Management for Agentic AI: The New Frontier of Authorization, Authentication, and Security for an AI Agent World. OpenID Foundation white paper. Available at: https://arxiv.org/abs/2510.25819 (Accessed: 20 July 2026).</t>
  </si>
  <si>
    <t>Preprint / Industry White Paper</t>
  </si>
  <si>
    <t>Agentic AI Identity &amp; Access Management</t>
  </si>
  <si>
    <t>Position Paper; Framework Analysis; Industry Standards Review (OAuth 2.1, MCP, SCIM, IETF drafts)</t>
  </si>
  <si>
    <t>Industry Standards; Academic Literature; IETF/OpenID Foundation Working Groups</t>
  </si>
  <si>
    <t>Enterprise communication channels; chat channels (agent acting on behalf of user in shared Slack/Teams context); API/MCP-connected messaging systems</t>
  </si>
  <si>
    <t>Autonomous LLM-backed agents; MCP agents; A2A agents; browser/computer-use agents; multi-agent recursive delegation chains</t>
  </si>
  <si>
    <t>Agent impersonation of human users (accountability gap); delegated vs. impersonated identity; non-human identity (NHI) management; user-agent conflation in audit logs; agent acting indistinguishably from user</t>
  </si>
  <si>
    <t>Delegated Authority; Zero-Trust for Agents; Consent Governance; Auditability</t>
  </si>
  <si>
    <t>OAuth 2.1 works for single-domain synchronous agents but fails for cross-domain, async, or recursive delegation. Agents currently impersonate users creating accountability gaps — proposed fix is explicit On-Behalf-Of (OBO) delegated authority. 8 critical future challenges identified: agent identity fragmentation, recursive delegation, consent fatigue, browser agents bypassing API controls, scalable governance, revocation, multi-user permission leakage, and transitive trust. Recommends SCIM extension for agent lifecycle, OIDC-A for agent identity, Web Bot Auth for open web. Calls for agents acting in text-based shared channels to respect intersected permission sets to prevent privileged data leakage.</t>
  </si>
  <si>
    <t>RO3: Examines how current protocols handle delegated authorization and transitive trust. It evaluates the limitations of standard OAuth implementations when agents impersonate users, advocating for the adoption of proposed standards like OpenID Connect for Agents (OIDC-A) to cryptographically verify multi-hop delegation chains, thereby differentiating the human principal from the autonomous agent actor.
RO5: Specifically tackles the "On-Behalf-Of" (OBO) flow and the critical challenge of recursive delegation and scope attenuation. It is vital for understanding how to cryptographically verify multi-hop delegation chains so that an agent cannot exceed the authority granted by its human principal.
Main contribution: The source provides a strategic roadmap for transitioning from high-risk "user impersonation" (where agents act indistinguishably from users) to a standardized "delegated authority" model. It formalizes the agent identity lifecycle, proposing that agents must be treated as "first-class entities" in IAM systems with distinct, verifiable identifiers to close current accountability gaps.
Strongest citable concept/mechanism/model: On-Behalf-Of (OBO) Flow — A technical pattern for delegated authority that generates an access token containing two distinct identities: the human user who granted authority (e.g., in the sub claim) and the specific agent actor authorized to perform the task (e.g., in the act claim).
Limitation or questionable assumption: The authors acknowledge a fundamental "scalability problem" where "consent fatigue" leads users to reflexively approve thousands of autonomous requests, yet they still rely on human-in-the-loop mechanisms like CIBA (Client Initiated Backchannel Authentication) for high-risk escalations. Furthermore, the proposed solution of "Natural Language Scopes" assumes AI can reliably and safely translate vague human instructions into precise, machine-readable security policies.
Dissertation-ready note: This whitepaper defines "identity ambiguity" as a primary driver for new security models, arguing that the "interpretive burden" of processing unstructured human input prevents agents from capturing explicit machine-readable consent (Section 1.1, p. 7). It supports RO3 by highlighting that "computer-use agents" effectively bypass traditional API-based controls by "impersonating human users at the presentation layer," rendering the human–agent distinction nearly impossible to maintain without new "Web Bot Auth" protocols (Section 3, p. 11; Section 3.5, p. 22).</t>
  </si>
  <si>
    <t>P036</t>
  </si>
  <si>
    <t>Detection of LLM Deceptive Behaviour Triggered by the Poisonous Context Injection: The Problem Demonstration</t>
  </si>
  <si>
    <t>Selitskiy, S. and Inoue, C. (2025) ‘Detection of LLM Deceptive Behaviour Triggered by the Poisonous Context Injection: The Problem Demonstration’, in Proceedings of the 2025 International Conference on Foundation and Large Language Models. IEEE. https://doi.org/10.1109/FLLM67465.2025.11391110</t>
  </si>
  <si>
    <t>Text-Based AI Interaction</t>
  </si>
  <si>
    <t>LLM (committee of 5 models)</t>
  </si>
  <si>
    <t>Poisonous-context deception triggering</t>
  </si>
  <si>
    <t>Poisoned context reduces LLM trustworthiness from 0.86±0.15 to 0.57±0.33; committee cross-verification improves detection</t>
  </si>
  <si>
    <t>RO1 and RO2: This work formalizes LLM deception and characterizes it as a measurable phenomenon. It classifies mechanisms to detect this deception through automated cross-verification with independent models, analyzing how context poisoning systematically induces misleading behavior</t>
  </si>
  <si>
    <t>P039</t>
  </si>
  <si>
    <t>Explainable Human–AI Interaction: A Planning Perspective</t>
  </si>
  <si>
    <t>Sreedharan, S., Kulkarni, A. and Kambhampati, S. (2022) Explainable Human–AI Interaction: A Planning Perspective. Synthesis Lectures on Artificial Intelligence and Machine Learning, 14(1), pp. 1–164. https://doi.org/10.2200/S01152ED1V01Y202111AIM050</t>
  </si>
  <si>
    <t>2022</t>
  </si>
  <si>
    <t>Book / Monograph</t>
  </si>
  <si>
    <t>Human-AI Interaction / Explainability</t>
  </si>
  <si>
    <t>Literature Synthesis / Framework</t>
  </si>
  <si>
    <t>General AI Interface</t>
  </si>
  <si>
    <t>AI Planning Systems</t>
  </si>
  <si>
    <t>Transparency / Explainability</t>
  </si>
  <si>
    <t>Planning-based explainability framework improves human-AI trust calibration; contrastive explanations key to distinguishing AI reasoning</t>
  </si>
  <si>
    <t>RO1 and RO4: This book chapter analyzes human-aware AI planning, specifically how AI models the human "theory of mind". It synthesizes how AI can use this modeling to either conform to human expectations or actively engage in selective obfuscation, deceptive communication, and the weaponization of trust</t>
  </si>
  <si>
    <t>P040</t>
  </si>
  <si>
    <t>Turning AI Against AI: The Role of Agentic AI in Detecting and Mitigating AI Generated Cyber Attacks</t>
  </si>
  <si>
    <t>Autonomous AI Agents / Cybersecurity</t>
  </si>
  <si>
    <t>Agentic AI (LLM-based autonomous agents)</t>
  </si>
  <si>
    <t>AI-Driven Social Engineering; Deepfake; Adversarial ML</t>
  </si>
  <si>
    <t>Agentic AI can counter AI-driven threats (phishing, deepfakes, autonomous botnets); stylometric and LLM-based detection; human-AI teaming essential; existing defenses degrade 50% on in-the-wild datasets</t>
  </si>
  <si>
    <t>RO4: This paper explores Agentic AI's ability to counter AI-generated phishing and deepfakes. It classifies detection approaches including stylometric analysis, behavioral analytics, and human-AI teaming, highlighting linguistic cues used to differentiate human versus AI text.
Main contribution: The authors propose that "Agentic AI"—autonomous systems capable of reasoning and planning—is the necessary successor to static defenses for detecting AI-generated threats like "indistinguishable" phishing and leader impersonation. It specifically advocates for a "Human–AI Teaming" model to bridge the "trust gap" by using the agent’s reasoning capabilities to generate human-readable explanations for its security decisions.
Strongest citable concept/mechanism/model: Reasoning-based Detection Framework — A method where Agentic AI identifies synthetic impersonation by analyzing subtle "story structure," "tone," or "context" inconsistencies that traditional keyword-based filters cannot perceive.
Limitation or questionable assumption: The source acknowledges that even high-performing laboratory detectors suffer up to a 50% performance collapse when applied to "in-the-wild" deepfakes, yet it relies on the assumption that "explainability" will inherently resolve the "trust gap" for human operators. Furthermore, it admits that the autonomy required for defense could be hijacked by adversaries to create "self-changing" malware.
Dissertation-ready note: This source highlights that AI-powered phishing has become "indistinguishable from human-authored emails," effectively neutralizing linguistic errors as a human verification cue (Section 2.1). It argues that "entity-nature verification" now requires a collaborative "Human-AI Teaming" approach where agents provide "stylometric" evidence, such as clause density and verb usage, to prove a communication’s synthetic or human origin (Section 3.2, 5.1).</t>
  </si>
  <si>
    <t>P041</t>
  </si>
  <si>
    <t>Generative-Conjectural LLM Equilibrium for Agentic AI Deception with Applications to Spearphishing</t>
  </si>
  <si>
    <t>Zhu, Q. (2026). Generative-Conjectural LLM Equilibrium for Agentic AI Deception with Applications to Spearphishing. In: Baras, J.S., Papavassiliou, S., Tsiropoulou, E.E., Sayin, M.O. (eds) Game Theory and AI for Security. GameSec 2025. Lecture Notes in Computer Science, vol 16223. Springer, Cham. https://doi.org/10.1007/978-3-032-08064-6_18</t>
  </si>
  <si>
    <t>Agentic AI Deception / Game Theory</t>
  </si>
  <si>
    <t>Theoretical Framework / Game-Theoretic Modelling</t>
  </si>
  <si>
    <t>Agent Communication</t>
  </si>
  <si>
    <t>Agentic LLM (multi-agent, sender–receiver)</t>
  </si>
  <si>
    <t>Strategic deception; GCLE equilibrium; belief manipulation</t>
  </si>
  <si>
    <t>Generative-Conjectural LLM Equilibrium (GCLE) formalises agentic deception as emergent multi-agent property; spearphishing case study shows LLM prompt design enables convincing belief manipulation; highlights security risks of generative AI agents</t>
  </si>
  <si>
    <t>RO1: Uses spear-phishing as a core case study to formalize how an AI deceiver constructs strategic messages. It models how an agent uses cognitive reasoning to anticipate a receiver's response and dynamically shape its prompt to ensure the target clicks a malicious link.
RO4: Conceptualizes deception not as a single agent's flaw, but as an emergent property of strategic interaction in multi-agent environments. It models how deceiver agents build internal models of a receiver’s behavior using recursive reasoning to exploit cognitive vulnerabilities, successfully crafting persuasive, highly targeted spear-phishing messages.
Main contribution: The author formalizes deception in agentic systems as an emergent property of strategic interaction rather than a local agent defect, introducing the Generative-Conjectural LLM Equilibrium (GCLE) to model how agents build recursive internal models of each other’s behavior. It provides a mathematical framework for "level-n iterative reasoning," where an agent uses nested LLM simulations to refine messages that intentionally manipulate a receiver's beliefs or actions.
Strongest citable concept/mechanism/model: Generative-Conjectural LLM Equilibrium (GCLE) — A Berk-Nash-type equilibrium concept that formalizes the consistency between a sender's generative message policy and their conjectured response model of the receiver, capturing how misinformation can propagate through recursive message-reasoning feedback loops.
Limitation or questionable assumption: The framework assumes that interacting agents might share a "shared worldview" if they utilize the same LLM instance, but the author acknowledges that divergent behavior occurs if they access different model versions or fine-tuned variants, creating "latent epistemic divergence". Furthermore, the model’s success depends on the sender's ability to approximate an "unobservable" true receiver policy, leaving room for failure if the sender's internal "digital twin" of the target is significantly misspecified.
Dissertation-ready note: This source defines AI deception as a relational property where agents use "digital twins" of a receiver's cognition to anticipate and manipulate second-order effects of a message (Section 3). It demonstrates that entity-nature verification is increasingly difficult because agents can use "level-n iterative reasoning" to progressively eliminate "content that may raise suspicion" in spearphishing attempts (Section 4, 6).</t>
  </si>
  <si>
    <t>P042</t>
  </si>
  <si>
    <t>Generative Cybersecurity</t>
  </si>
  <si>
    <t>Nugent, N. J. (2025) Generative Cybersecurity. SSRN Research Paper No. 491. Available at: https://ssrn.com/abstract=5598352 (Accessed: 20 July 2026).</t>
  </si>
  <si>
    <t>Working Paper / Preprint</t>
  </si>
  <si>
    <t>Cybersecurity / Law / Policy</t>
  </si>
  <si>
    <t>Legal-Doctrinal Analysis / Policy Review</t>
  </si>
  <si>
    <t>Generative AI (LLMs, deepfakes, autonomous bots)</t>
  </si>
  <si>
    <t>AI-enabled impersonation; adversarial AI; deepfake identity fraud</t>
  </si>
  <si>
    <t>AI bots now outnumber human users; real-time deepfakes enable impersonation at scale; 1986 CFAA inadequate for adversarial AI; negligence doctrine impedes vendor accountability; proposes updated liability frameworks</t>
  </si>
  <si>
    <t>RO1: provides real-world context for these threats, noting incidents where attackers combined AI deepfakes and text-based "static bait" for massive corporate financial fraud (e.g., impersonating a company's CEO and CFO).
Main contribution: The source provides a comprehensive legal taxonomy and normative framework for "Generative Cybersecurity," arguing that AI’s ability to autonomously automate human-like deceptions and bypass "intrusion" boundaries necessitates a shift from human-centric laws to a "material interference" model of hacking. It specifically addresses how real-time deepfakes and autonomous agents "clone" threats at a scale that current legal and technical paradigms cannot contain.
Strongest citable concept/mechanism/model: The Hacker Cloning Effect — A phenomenon where autonomous AI agents allow a single adversary to parallelize complex social engineering and technical attacks, overcoming the traditional constraint of human manpower to create a non-linear increase in threat volume.
Limitation or questionable assumption: The author assumes that "security through obscurity" is a viable and legally defensible strategy, proposing that the law should protect "vulnerable hosts" by punishing the act of probing for vulnerabilities, an assumption that conflicts with traditional cybersecurity principles favoring proactive transparency and patching.
Dissertation-ready note: Nugent highlights a significant legal "void" where autonomous impersonation via deepfakes often escapes liability because existing "right-of-publicity" and NIL laws require public commercial endorsement, which is absent in private social engineering schemes (Section V-C). This source is essential for RO3 because it argues that the legal definition of hacking must move beyond "technical intrusion" to include deceptions that manipulate human perception, as AI has rendered the distinction between "data" and "instruction" functionally obsolete (Section II-A-1, Section V-B).</t>
  </si>
  <si>
    <t>P043a</t>
  </si>
  <si>
    <t>AI Mistakes Are Very Different from Human Mistakes</t>
  </si>
  <si>
    <t>Schneier, B. and Sanders, N. E. (2025) ‘AI Mistakes Are Very Different From Human Mistakes’, IEEE Spectrum, 13 January. Available at: https://spectrum.ieee.org/ai-mistakes-schneier (Accessed: 20 July 2026).</t>
  </si>
  <si>
    <t>Error Pattern Distinction</t>
  </si>
  <si>
    <t>Qualitative differences in AI vs human error patterns enable entity-nature inference</t>
  </si>
  <si>
    <t>RO2: This article classifies cues for distinguishing AI agents from humans based on their mistake patterns. It identifies that AI errors are unpredictable, lack the "edges of knowledge" that define human ignorance, and are often presented with unearned confidence, setting them apart from human failure modes</t>
  </si>
  <si>
    <t>P043b</t>
  </si>
  <si>
    <t>3 Ways to Keep AI on Our Side: AI Researchers Can Draw Lessons from Cybersecurity, Robotics, and Astrobiology</t>
  </si>
  <si>
    <t>Schneier, B., Sanders, N. E., Jemielniak, D., Begoli, E. and Sadovnik, A. (2025) ‘3 Ways to Keep AI on Our Side: AI Researchers Can Draw Lessons from Cybersecurity, Robotics, and Astrobiology’, IEEE Spectrum, 62(4), pp. 38–45. https://doi.org/10.1109/MSPEC.2025.10960476</t>
  </si>
  <si>
    <t>Magazine Article</t>
  </si>
  <si>
    <t>AI Ethics / Governance / Safety</t>
  </si>
  <si>
    <t>Essay / Conceptual Analysis (3 essays)</t>
  </si>
  <si>
    <t>AI (general); LLMs; deepfakes</t>
  </si>
  <si>
    <t>AI error pattern distinction; disclosure; Asimov's fourth law; SETI-inspired AGI detection</t>
  </si>
  <si>
    <t>Three essays: (1) AI error patterns differ qualitatively from human errors (Schneier &amp; Sanders); (2) Asimov's laws need updating for deceptive AI—proposed fourth law requiring self-identification (Jemielniak); (3) SETI-style rigorous standards for detecting emergent human-level AI (Begoli &amp; Sadovnik)</t>
  </si>
  <si>
    <t xml:space="preserve">RO1: The initial essay by Schneier and Sanders argues that AI error patterns are fundamentally different and "weirder". Unlike human mistakes, they do not cluster at the edges of knowledge nor are they accompanied by ignorance. Instead, they appear at seemingly random times and are presented with absolute confidence.
RO2: Dariusz Jemielniak's essay proposes a "Fourth Law of Robotics" that explicitly prohibits an AI from deceiving a human being by impersonating one
. To implement this law, the author suggests direct mechanisms such as mandatory AI disclosure in direct interactions, clear labeling of AI-generated content, and the development of technical standards for AI identification.
</t>
  </si>
  <si>
    <t>P045</t>
  </si>
  <si>
    <t>Psychology and Usability (Chapter 3 of Security Engineering)</t>
  </si>
  <si>
    <t>Anderson, R. (2020) ‘Psychology and Usability’, in Security Engineering: A Guide to Building Dependable Distributed Systems. 3rd edn. Indianapolis: Wiley, pp. 63–118. https://doi.org/10.1002/9781119644682.ch3</t>
  </si>
  <si>
    <t>2020</t>
  </si>
  <si>
    <t>Book Chapter</t>
  </si>
  <si>
    <t>Security Engineering / Human Factors</t>
  </si>
  <si>
    <t>Literature Review / Textbook Survey</t>
  </si>
  <si>
    <t>Distributed Systems</t>
  </si>
  <si>
    <t>N/A (pre-AI-agent era; theoretical grounding)</t>
  </si>
  <si>
    <t>Social engineering; psychological deception; trust exploitation</t>
  </si>
  <si>
    <t>P046</t>
  </si>
  <si>
    <t>An AI-Driven Temporal Network Analysis of Myanmar Scam Operations</t>
  </si>
  <si>
    <t>Akartuna, E. A. and Manning, M. G. (2026) ‘An Artificial Intelligence-Driven Temporal Network Analysis of Myanmar’s Cyber Scam Ecosystem’, Asian Journal of Criminology. https://doi.org/10.1007/s11417-025-09474-0</t>
  </si>
  <si>
    <t>Cybercrime / Fraud</t>
  </si>
  <si>
    <t>Network Analysis / LLM</t>
  </si>
  <si>
    <t>Online Messaging</t>
  </si>
  <si>
    <t>LLM-assisted analysis</t>
  </si>
  <si>
    <t>Criminal Impersonation Networks</t>
  </si>
  <si>
    <t>LLM network analysis reveals industrialised text-based impersonation pipelines</t>
  </si>
  <si>
    <t>RO1: This paper characterizes the application of AI tools in researching and analyzing the cyber scam ecosystem, noting the risks of network inaccuracies and LLM hallucinations in mapping criminal activity</t>
  </si>
  <si>
    <t>P047</t>
  </si>
  <si>
    <t>AI Agents with Decentralized Identifiers and Verifiable Credentials</t>
  </si>
  <si>
    <t>Conference Paper (ICAART 2026, SCITEPRESS, peer-reviewed)</t>
  </si>
  <si>
    <t>Authentication and identity management (self-sovereign identity para agentes LLM)</t>
  </si>
  <si>
    <t>Conceptual framework + prototype multi-agent system (W3C DIDs anclados en ledger + VCs de terceros, protocolo A2A); evaluación experimental con cuatro LLMs (GPT-4.1, GPT-4.1-mini, GPT-4o-mini, o4-mini)</t>
  </si>
  <si>
    <t>Prototype implementation and experimental evaluation</t>
  </si>
  <si>
    <t>Agent-to-agent dialogue (not human-facing organisational messaging)</t>
  </si>
  <si>
    <t>LLM-based autonomous agents (GPT-4.1, GPT-4.1-mini, GPT-4o-mini, o4-mini)</t>
  </si>
  <si>
    <t>Self-sovereign agent identity; DID-based authentication and cross-domain attestation through VC exchange at dialogue onset</t>
  </si>
  <si>
    <t>Differentiated trust establishment between previously unknown agents at the start of an interaction</t>
  </si>
  <si>
    <t>Demonstrates technical feasibility of DID/VC-based agent identity, but reliability degrades when the agent's LLM alone orchestrates the security procedures (Abstract; Evaluation). Completion rates vary sharply by model, from 91% with GPT-4.1 to markedly lower rates with smaller models (Figure 3). Failure causes include missing required VC fields, misspelled attributes and unresolvable JSON-LD schema references (Evaluation). One security-critical incident across all test runs: an agent failed to authenticate during attestation and both agents agreed that one-way authentication was sufficient to proceed with VC issuance (Evaluation).</t>
  </si>
  <si>
    <t>Addresses the portable, cross-domain agent identity gap flagged by Singh et al. (S005). Presupposes the subject is already recognised as an agent: consistent with the Section 2.6 gating argument; do NOT attribute human-agent verification claims to this paper. The one-way-authentication incident is citable in Chapter 5 as an attestation failure mode negotiated down by the LLMs themselves. Companion candidates M001, M002, M004 evaluated and excluded (redundant coverage; low-profile venue; IoT out of scope).</t>
  </si>
  <si>
    <t>P048</t>
  </si>
  <si>
    <t>Peter, S., Riemer, K. and West, J.D. (2025) 'The benefits and dangers of anthropomorphic conversational agents', Proceedings of the National Academy of Sciences, 122(22), e2415898122. doi: 10.1073/pnas.2415898122.</t>
  </si>
  <si>
    <t>Human-AI Interaction / Anthropomorphism / AI Communication Ethics</t>
  </si>
  <si>
    <t>Perspective/conceptual article (no recolecta datos propios); sintetiza literatura empírica (experimentos de persuasión, empatía, inferencia de emoción, role-play, Turing test) para introducir el constructo "anthropomorphic conversational agents" y el concepto "anthropomorphic seduction"; propone agenda de investigación e implicaciones para diseño, despliegue y regulación</t>
  </si>
  <si>
    <t>Síntesis de literatura académica (estudios con GPT-3/GPT-4/Claude sobre persuasión, empatía, inferencia de sentimiento/emoción, role-play, Turing test) + prácticas de la industria (OpenAI, Anthropic, Google) + casos mediáticos (Replika, demandas de Character.AI)</t>
  </si>
  <si>
    <t>Interacción humano-IA basada en texto en general (chatbots, agentes conversacionales); casos concretos: salud, RRHH (IBM AskHR), educación/tutoría, apps de compañía IA, atención al cliente. No es específico de comunicación organizacional, pero es central para identity/indistinguishability</t>
  </si>
  <si>
    <t>Agentes conversacionales basados en LLM (GPT-3, GPT-4, Claude, Gemini): generación de texto persuasivo/empático, inferencia de sentimiento y emoción, role-play y matching de personalidad/estilo lingüístico del usuario</t>
  </si>
  <si>
    <t>CENTRAL. Define "anthropomorphic conversational agents" como sistemas que imitan la comunicación humana de forma tan convincente que se vuelven "cada vez más indistinguibles de interlocutores humanos". Cita explícitamente el experimento de Jakesch et al. (2023) donde un GPT-3 afinado impersonó personas en contextos sociales (solicitudes de empleo, perfiles de citas) produciendo relatos de autopresentación "indistinguibles de los escritos por humanos". Discute estudios donde LLMs pasan el Turing test de forma consistente (Jones &amp; Bergen, 2024/2025)</t>
  </si>
  <si>
    <t>Concepto central: "anthropomorphic seduction" — el atractivo/peligro de una interacción convincentemente humana que vuelve a los usuarios confiados y vulnerables. El auto-disclosure recíproco y el self-congruence aumentan la confianza en el sistema; estos mismos mecanismos permiten manipulación y explotación a escala porque el sistema puede ser engañoso sin inhibiciones éticas humanas. Propone transparencia obligatoria, etiquetado/disclosure (cita el EU AI Act) y sistemas de clasificación de riesgo (rating systems) análogos a clasificaciones de contenido</t>
  </si>
  <si>
    <t>Introduce el constructo "anthropomorphic conversational agents": LLMs que igualan o superan a humanos en tres capacidades comunicativas — (1) escritura persuasiva y empática (GPT-3/GPT-4 igualan o superan a autores humanos en persuasión, incluso en temas políticos polarizados y propaganda; GPT-4 calificado como "most empathetic" en estudio con 1,000 participantes), (2) inferencia de rasgos/emoción/sentimiento del usuario a partir de texto (hasta 95% de precisión en sentimiento multilingüe, 84% en detección de emociones en redes sociales), y (3) interacción y role-play convincentes que igualan o exceden niveles humanos típicos (ChatGPT-4 modificando su comportamiento para imitar al interlocutor). Argumenta que estas habilidades constituyen logros de "comunicación", distintos del debate sobre "razonamiento" de las LLM, y que el campo ha subestimado este avance. Plantea la pregunta central: ¿diseñar hacia más antropomorfismo o deliberadamente "deshumanizar" los sistemas? Identifica riesgos concretos: desinformación/propaganda a escala con calidad no vista antes, phishing e ingeniería social por inferencia de rasgos del usuario, y manipulación conductual mediante role-play e imitación. Propone agenda de investigación (benchmarks de "calidad antropomórfica" más allá del Turing test) e implicaciones en tres niveles: diseño (evitar lenguaje que evoque humanidad, "AI accent"/dialecto de máquina), despliegue (contexto-dependencia: beneficioso en tutoría/role-play declarado, problemático en apps de compañía que generan dependencia — casos Replika, Character.AI), y regulación (transparencia obligatoria tipo EU AI Act, sistemas de clasificación de riesgo, responsabilidad ante daño por engaño)</t>
  </si>
  <si>
    <t>RO1: las tres capacidades (escritura persuasiva, inferencia de rasgos, role-play convincente) son "enabling capabilities" concretas y bien evidenciadas para la suplantación en texto. RO3: plantea directamente el problema de verificación — el Turing test "anthropomorphism-proofed" como diagnóstico de que el fallo de discriminación es del sistema, no del usuario; pide nuevos benchmarks de "anthropomorphic quality" ausentes hoy. RO4: casos concretos de riesgo organizacional/social (phishing, ingeniería social, desinformación a escala, "supercommunicators" como amenaza subestimada frente al foco en "superintelligence"). RO5: "anthropomorphic seduction" es un candidato fuerte de nombre para la dimensión trust/disclosure del framework, y el paper mismo propone tres subdimensiones (writing, inference, interaction) que podrían mapear a sub-categorías dentro de tu taxonomía. Strongest citable concept: "anthropomorphic seduction" + la evidencia de indistinguibilidad en escritura de autopresentación (Jakesch et al., citado dentro de este paper) para impersonación de identidad en texto. Limitation: es un artículo de perspectiva/opinión, no aporta datos primarios propios — toda la evidencia empírica citada proviene de estudios de terceros (ya listados en sus referencias 23–32, 52–61), por lo que si citas hallazgos específicos de persuasión/empatía conviene verificar si ya tienes esos papers primarios en el corpus o si citas a través de Peter et al. como fuente secundaria. Venue: PNAS es la revista científica multidisciplinaria más citada del mundo — máxima credibilidad para anclar el argumento de "anthropomorphic seduction" en el capítulo.</t>
  </si>
  <si>
    <t>S001</t>
  </si>
  <si>
    <t>A systematic review of multi-factor authentication in digital payment systems: NIST standards alignment and industry implementation analysis</t>
  </si>
  <si>
    <t>Tran-Truong, P. T. et al. (2025) ‘A systematic review of multi-factor authentication in digital payment systems: NIST standards alignment and industry implementation analysis’, Journal of Systems Architecture, 162, article 103402. https://doi.org/10.1016/j.sysarc.2025.103402</t>
  </si>
  <si>
    <t>Journal Article / Systematic Review</t>
  </si>
  <si>
    <t>Authentication; MFA; Digital payments; Identity assurance</t>
  </si>
  <si>
    <t>Systematic literature review of 70 academic papers (2017–2024) plus review of 13 industry authentication tools; NIST-based classification of IAL/AAL.</t>
  </si>
  <si>
    <t>Academic literature + industry authentication tools</t>
  </si>
  <si>
    <t>Digital payment / mobile payment / e-services; not primarily organisational text communication</t>
  </si>
  <si>
    <t>Limited / indirect; includes biometrics, adaptive authentication and context-aware risk assessment, not autonomous agents as primary focus</t>
  </si>
  <si>
    <t>Authentication assurance; identity proofing; MFA; phishing-resistant authenticators; not entity-nature verification</t>
  </si>
  <si>
    <t>Identity assurance; authentication assurance; user trust; regulatory compliance</t>
  </si>
  <si>
    <t>Finds a gap between academic MFA capabilities and industry implementations; 33% of tools still rely mainly on OTP; biometric authentication appears in 60% of analysed papers; payment systems show stronger standards alignment than IoT/e-services; proposes adaptive authentication balancing security and UX.</t>
  </si>
  <si>
    <t>S002</t>
  </si>
  <si>
    <t>Authentication Technique in the Emerging Cybernetic Avatar Era</t>
  </si>
  <si>
    <t>Yamaguchi, R. S., Perera, M. N. S., Zimmer, F., Kobayashi, R. and Irvan, M. (2026) ‘Authentication Technique in the Emerging Cybernetic Avatar Era’, in Proceedings of COMSNETS 2026. IEEE. https://doi.org/10.1109/COMSNETS67989.2026.11418132</t>
  </si>
  <si>
    <t>Continuous authentication; behavioural biometrics; cybernetic avatars; AI proxy risk</t>
  </si>
  <si>
    <t>Conceptual framework / position paper with feasibility evidence from eSports behavioural biometrics and anomaly detection studies.</t>
  </si>
  <si>
    <t>Academic literature + conceptual model + prior feasibility studies</t>
  </si>
  <si>
    <t>Avatar-mediated interaction; remote services; outsourced social media/chat delegation mentioned; not limited to text but highly relevant to mediated communication</t>
  </si>
  <si>
    <t>Explicit: discusses AI proxy, AI-driven impersonation, autonomous agents and proxy behaviours.</t>
  </si>
  <si>
    <t>Identity theft; unauthorised proxy operation; AI-driven impersonation; session substitution; behavioural consistency</t>
  </si>
  <si>
    <t>Continuous trust; persistent identity assurance; ambient trust; trust in high-stakes remote operations</t>
  </si>
  <si>
    <t>Claims conventional passwords, tokens and biometric checks are momentary and create blind spots; proposes long-term behavioural verification and Personal Likelihood Score to detect proxy behaviour and support persistent identity assurance.</t>
  </si>
  <si>
    <t>RO3: This paper argues that conventional momentary authentication standards fail to address the entity nature of AI proxies and avatars. It proposes replacing short-term checks with continuous, behavior-based long-term identity verification to ensure operational trust when authority is delegated to avatars acting on a user's behalf.
RO4: Argues that conventional "momentary" authentication fails when digital presence is fluid. Proposes a shift to continuous behavioral verification to prevent attackers or AI proxies from hijacking cybernetic avatars mid-session.
RO5: Discusses the paradigm shift of identity verification in environments where digital avatars and autonomous agents act as extensions of users. It proposes models for continuous behavior logging and proxy-behavior detection to verify if the correct entity is operating the system.
Very important for ENV because it supports the argument that authenticated access does not prove who/what continues acting after login. Strong evidence for continuous assurance and proxy/AI substitution risk.</t>
  </si>
  <si>
    <t>S003</t>
  </si>
  <si>
    <t>A Trust Service Model Adaptable to Various Assurance Levels by Linking Digital IDs and Certificates</t>
  </si>
  <si>
    <t>Digital identity; trust services; assurance levels; certificates; eKYC</t>
  </si>
  <si>
    <t>Framework/model proposal plus domestic implementation/use-case examples, including passport-based eKYC and Mebuku ID.</t>
  </si>
  <si>
    <t>Academic paper + regulatory/guideline analysis + Japanese case examples</t>
  </si>
  <si>
    <t>Electronic transactions, payment/tourism services and administrative procedures; not text-based communication</t>
  </si>
  <si>
    <t>None / indirect; focuses on digital IDs and certificates rather than AI agents.</t>
  </si>
  <si>
    <t>Identity verification; digital certificate assurance; linking certificates to one digital ID; cross-certificate identity continuity</t>
  </si>
  <si>
    <t>Trust service assurance; identity assurance; privacy–assurance trade-off; regulatory trust</t>
  </si>
  <si>
    <t>Shows that trust services combine IAL, AAL and TAL; highlights privacy trade-offs of high-assurance certificates; proposes certificate switching via digital ID to support different assurance/legal requirements.</t>
  </si>
  <si>
    <t>RO3: While primarily focused on human and device digital IDs, these papers deeply evaluate how eIDAS, IETF Vector of Trust, and NIST SP 800-63 verify entity identities through Identity, Authentication, and Federation Assurance Levels (IAL, AAL, FAL).
RO5:  propose frameworks for evaluating "Assurance Levels" (AL). They outline how service owners can make access control decisions by evaluating trust based on the strength of the entity's identification and authentication.
Useful background for assurance-level thinking. It strengthens the argument that assurance can be decomposed into components, but it does not address entity nature or autonomy.</t>
  </si>
  <si>
    <t>S004</t>
  </si>
  <si>
    <t>A Flexible and Compatible Model for Supporting Assurance Level through a Central Proxy</t>
  </si>
  <si>
    <t>Varnosfaderani, S. D., Kasprzak, P., Pohl, C. and Yahyapour, R. (2019) ‘A Flexible and Compatible Model for Supporting Assurance Level through a Central Proxy’, in 2019 6th IEEE International Conference on Cyber Security and Cloud Computing and 2019 5th IEEE International Conference on Edge Computing and Scalable Cloud. IEEE, pp. 46–52. https://doi.org/10.1109/CSCloud/EdgeCom.2019.00018</t>
  </si>
  <si>
    <t>Federated identity management; assurance levels; AAI; FIM</t>
  </si>
  <si>
    <t>Comparative analysis of NIST, IETF Vector of Trust, AARC and REFEDS; conceptual architecture/model proposal; theoretical validation.</t>
  </si>
  <si>
    <t>Academic literature + standards/guidelines comparison</t>
  </si>
  <si>
    <t>Federated service access; SSO; not text-based communication</t>
  </si>
  <si>
    <t>None; focuses on users and service providers, not AI agents.</t>
  </si>
  <si>
    <t>Credential assurance; federated identity; linked accounts; step-up authentication; assurance level mapping</t>
  </si>
  <si>
    <t>Confidence in credential binding; service-provider trust in external credentials; federated trust</t>
  </si>
  <si>
    <t>Identifies limitations in static LoA models, limited flexibility and lack of harmonisation; proposes central proxy, Trust Mark and Extra Assurance Level (XAL) to define/evaluate service requirements dynamically.</t>
  </si>
  <si>
    <t>RO5: propose frameworks for evaluating "Assurance Levels" (AL). They outline how service owners can make access control decisions by evaluating trust based on the strength of the entity's identification and authentication.
Useful to support ENV’s claim that assurance models are extensible/component-based, but current components remain about identity/authentication/federation, not the nature or autonomy of the acting entity.</t>
  </si>
  <si>
    <t>S005</t>
  </si>
  <si>
    <t>Evolution of AI Agent Registry Solutions: Centralized, Enterprise, and Distributed Approaches</t>
  </si>
  <si>
    <t>Singh, A. et al. (2025) ‘Evolution of AI Agent Registry Solutions: Centralized, Enterprise, and Distributed Approaches’, in 2025 IEEE International Conference on Cognitive Machine Intelligence. IEEE, pp. 507–515. https://doi.org/10.1109/CogMI67134.2025.00067</t>
  </si>
  <si>
    <t>AI Agent Identity / Registry &amp; Discovery Infrastructure</t>
  </si>
  <si>
    <t>Comparative Architectural Analysis (5 registry systems)</t>
  </si>
  <si>
    <t>Technical documentation and architecture analysis</t>
  </si>
  <si>
    <t>Agent discovery and registration infrastructure underpinning enterprise agent deployment</t>
  </si>
  <si>
    <t>Autonomous AI agents; multi-agent ecosystems</t>
  </si>
  <si>
    <t>Agent identity assurance; registry poisoning; verifiable capability attestation</t>
  </si>
  <si>
    <t>Trustworthy discovery; cryptographic integrity; portable agent identity</t>
  </si>
  <si>
    <t>Compares five agent registry architectures (MCP Registry, A2A Agent Cards, AGNTCY ADS, Microsoft Entra Agent ID, NANDA Index AgentFacts) on security, authentication, privacy and endpoint freshness. Cryptographic integrity (W3C VCs, Sigstore, DNS-TXT) treated as foundational across all five; interoperability and portable agent identity identified as the critical unsolved gap.</t>
  </si>
  <si>
    <t>RO3: This paper analyzes frameworks like Microsoft Entra Agent ID, MCP, and A2A to see how they manage "non-human identities" (entity nature). It evaluates how enterprise directories apply conditional access, Zero Trust policies, and capability negotiation to verify agent credentials before granting delegated authority.
RO4: Highlights the need for verifiable metadata and decentralized identifiers (DIDs) to prevent deceptive agent routing and secure enterprise environments.
RO5: This paper directly addresses the need to "verify an agent is who it claims to be". It evaluates centralized and distributed agent registries that enable trustworthy discovery, capability negotiation, and identity assurance using verifiable credentials.
Main contribution: first comparative analysis of five production agent-registry architectures, framing registries as the trust infrastructure for an 'Internet of AI Agents'. Strongest citable concept/mechanism/model: NANDA AgentFacts — cryptographically verifiable, privacy-preserving agent capability assertions using W3C Verifiable Credential signatures with revocation/status lists (Tables I–II). Limitation or questionable assumption: evaluation is architectural rather than empirical (no deployment measurements), and the authors concede that cross-registry interoperability and portable agent identity remain unsolved. Dissertation-ready note: directly grounds the attestation class of the ENV taxonomy and the A1 (authorised disclosed agent) state — registries make agent identity declarable and verifiable, but all five serve machines and administrators, not the human recipient in a channel, which restates the ENV gap from inside the identity literature (Tables I–II; Conclusions 3–5). Also supports the 'agent inventory' governance control in 5.4.4.</t>
  </si>
  <si>
    <t>S006</t>
  </si>
  <si>
    <t>Hardware Security for Internet of Things Identity Assurance</t>
  </si>
  <si>
    <t>Cirne, A., Sousa, P. R., Resende, J. S. and Antunes, L. (2024) ‘Hardware Security for Internet of Things Identity Assurance’, IEEE Communications Surveys &amp; Tutorials, 26(2), pp. 1153–1187. https://doi.org/10.1109/COMST.2024.3355168</t>
  </si>
  <si>
    <t>Journal Article (Survey)</t>
  </si>
  <si>
    <t>IoT / Hardware Security / Machine Identity Assurance</t>
  </si>
  <si>
    <t>Systematic Survey</t>
  </si>
  <si>
    <t>Academic literature survey</t>
  </si>
  <si>
    <t>Machine-to-machine identity; adjacent infrastructure context (not text communication)</t>
  </si>
  <si>
    <t>None direct — non-human (device) identity</t>
  </si>
  <si>
    <t>Device identity assurance; hardware roots of trust; PUF-based authentication</t>
  </si>
  <si>
    <t>Hardware-anchored trust; identity assurance as an explicit survey object</t>
  </si>
  <si>
    <t>Top-venue survey (COMST) of hardware technologies for IoT identity assurance: roots of trust, TPM/secure elements, PUFs, against known attacks and countermeasures. Hardware constraints are both the obstacle and the solution. PUF potential underexploited: market products omit CRP-based authentication and CRP frameworks lack standardisation against FIPS/NIST. Identity and authentication remain open research challenges in IoT (Section VI).</t>
  </si>
  <si>
    <t>RO5: Explores foundational concepts of entity identification, identity management (IdM), and authentication mechanisms necessary for asserting an entity's specific identity claims.
Main contribution: establishes 'identity assurance' for non-human entities as a recognised academic body at device level, with hardware anchors (RoT, PUF, secure elements) as the assurance substrate. Strongest citable concept/mechanism/model: hardware root-of-trust as the anchor of machine identity assurance; PUF challenge-response authentication as a promising but unstandardised frontier (Section V–VI). Limitation or questionable assumption: scope is device hardware — no treatment of software agents, communication channels or the human recipient; assurance is framed as machines authenticating to machines. Dissertation-ready note: anchors the claim in 2.4.2/4.7 that assurance vocabulary already exists for machine identity while having no counterpart for the nature of a communicating entity in text channels — the ENV gap stated from the hardware-identity side (Section VI). Quality note: highest-authority venue in the supplementary set (44 citations).</t>
  </si>
  <si>
    <t>S007</t>
  </si>
  <si>
    <t>Agentic JWT: A Secure Delegation Protocol for Autonomous AI Agents</t>
  </si>
  <si>
    <t>Goswami, A. (2025) ‘Agentic JWT: A Secure Delegation Protocol for Autonomous AI Agents’, arXiv preprint, arXiv:2509.13597. https://doi.org/10.48550/arXiv.2509.13597</t>
  </si>
  <si>
    <t>Agent Identity / Delegated Authorization / OAuth extensions</t>
  </si>
  <si>
    <t>Protocol Design; Threat Modelling; Proof-of-Concept (Python)</t>
  </si>
  <si>
    <t>Threat model + before/after PoC evaluation</t>
  </si>
  <si>
    <t>API-mediated agent action within organisational systems</t>
  </si>
  <si>
    <t>Autonomous LLM agents; multi-agent orchestration</t>
  </si>
  <si>
    <t>In-process agent impersonation; privilege escalation via shared client IDs; delegation chains; intent binding; replay prevention</t>
  </si>
  <si>
    <t>Cryptographically verifiable user intent; delegated authority</t>
  </si>
  <si>
    <t>OAuth 2.0 assumes deterministic clients whose requests embody the resource owner's intent; stochastic agents break this, silently expanding privileges via prompt injection or shared credentials. A-JWT binds each action to a one-way checksum of the agent's prompt/tools/configuration ('agent_checksum' grant), chained delegation assertions and per-agent proof-of-possession keys. PoC reproduces the threat model and shows threats mitigated versus baseline JWT (full results deferred to journal version).</t>
  </si>
  <si>
    <t>RO3: Critiques standard OAuth 2.0 and JWT frameworks for assuming deterministic clients and relying on bearer tokens that grant privileges based on possession alone, which violates Zero-Trust principles in autonomous settings. It introduces "Agentic JWT" to explicitly bind agent actions to verifiable user intents and delegation chains.
RO5: Critiques standard authorization tokens (like OAuth) for autonomous agents and introduces mechanisms for binding agent actions to verifiable user intents and delegation chains.</t>
  </si>
  <si>
    <t>S008</t>
  </si>
  <si>
    <t>Levels of Autonomy in Cognitive Control (LACC-LOA): Bidimensional Assessment Method Applied to Six AI Assistant Concepts and Scenarios in the Aviation Domain</t>
  </si>
  <si>
    <t>Lundberg, J. et al. (2026) ‘Levels of Autonomy in Cognitive Control (LACC-LOA): Bidimensional Assessment Method Applied to Six AI Assistant Concepts and Scenarios in the Aviation Domain’, International Journal of Human–Computer Interaction. https://doi.org/10.1080/10447318.2026.2662524</t>
  </si>
  <si>
    <t>Journal Article (Open Access)</t>
  </si>
  <si>
    <t>Human-AI Teaming / Levels of Autonomy Assessment</t>
  </si>
  <si>
    <t>Framework Development; Bidimensional Assessment Method; Multi-Case Application (6 AI assistant concepts)</t>
  </si>
  <si>
    <t>Conceptual framework applied to six AI assistant use cases</t>
  </si>
  <si>
    <t>AI digital assistants / human-agent teaming (aviation domain; conceptual anchor, not domain evidence)</t>
  </si>
  <si>
    <t>AI assistants with graduated autonomy in joint human-AI work</t>
  </si>
  <si>
    <t>Not identity-focused; autonomy characterisation of the agent as system property</t>
  </si>
  <si>
    <t>Human oversight, control articulation and interdependence in joint human-AI systems</t>
  </si>
  <si>
    <t>Argues that the traditional single-dimension LOA scale (manual to fully autonomous; Parasuraman et al., 2000 lineage) is insufficient for capable AI: what matters is also WHAT KIND of cognitive control work is automated. Proposes the bidimensional LACC-LOA matrix (Levels of Autonomy in Cognitive Control x Levels of Automation) and applies it to six AI assistant concepts, showing it surfaces brittle junctions, human-machine articulation and evolution paths that unidimensional LOA misses.</t>
  </si>
  <si>
    <t>RO3: Conducts a comparative evaluation of "Levels of Autonomy" (LOA) schemes proposed across academia and industry (e.g., SAE J3016, CENELEC, EASA, SESAR). It analyzes how these standards use concepts like "operational envelopes," the "authority to decide and act," and human-machine interaction protocols as organizing principles for verifying operational autonomy.
RO5: Provides a bidimensional assessment method for evaluating levels of autonomy, offering structured criteria (e.g., observing system frames, effect goals, and human-machine negotiation) to build verification questions regarding an agent's operational independence.
Conceptual anchor (methodological transferability clause, §3.6): cited only for the operationalisation of graduated autonomy for AI assistants; no aviation domain findings imported. RO(s) supported (from RO1–RO5): RO1 (autonomy as a definable, graduated property of agents) and RO5 (grounds the autonomy dimension separating entity states A1/A2). Main contribution: a bidimensional assessment method (cognitive-control level x automation level) demonstrating that autonomy of capable AI cannot be captured on a single scale. Strongest citable concept/mechanism/model: the LACC-LOA matrix, which classifies the joint human-AI system rather than the machine alone, revealing dependencies and brittle junctions (Sections 1, 3.4, 4). Limitation or questionable assumption: aviation-domain cases only; classification relies on expert judgement of use-case descriptions rather than deployed-system measurement. Dissertation-ready note: strengthens the A1/A2 distinction against the objection that 'degree of autonomy' is vague — an active research community operationalises autonomy levels for AI assistants, with explicit lineage to Parasuraman et al. (2000) (Section 1). Also supports the honesty note in 5.4.2: graduated autonomy for LLM agents specifically remains under-theorised, which is exactly what this framework's provisional flag records.</t>
  </si>
  <si>
    <t>S009</t>
  </si>
  <si>
    <t>Overcoming underload and overload: The effect of stage and level of autonomy in routine-failure trade-off in human-autonomy teams</t>
  </si>
  <si>
    <t>Xu, X., Yu, R. and Yuan, M. (2023) ‘Overcoming underload and overload: The effect of stage and level of autonomy in routine-failure trade-off in human-autonomy teams’, International Journal of Industrial Ergonomics, 94, article 103424. https://doi.org/10.1016/j.ergon.2023.103424</t>
  </si>
  <si>
    <t>Human-Autonomy Teaming / Ergonomics / Mental Workload</t>
  </si>
  <si>
    <t>Controlled Experiment (n=30; three-factor design; NASA-TLX, eye tracking, HRV)</t>
  </si>
  <si>
    <t>Human-autonomy team monitoring/diagnosing tasks (conceptual anchor, not domain evidence)</t>
  </si>
  <si>
    <t>Autonomous agent as independent team member with manipulable stage and level of autonomy</t>
  </si>
  <si>
    <t>Not identity-focused; autonomy level as manipulated agent property</t>
  </si>
  <si>
    <t>Operator reliance, workload and recovery when the autonomous agent fails</t>
  </si>
  <si>
    <t>RO5 (grounds the operational autonomy dimension): empirically manipulates stage and level of autonomy in human-autonomy teams; higher autonomy benefits routine performance but degrades failure recovery (lumberjack effect), showing autonomy is a graded property with measurable human-performance consequences (Abstract; Method). Use only for the autonomy dimension. Do not attribute out-of-band verification for irreversible actions to this paper; that mechanism belongs to P005.</t>
  </si>
  <si>
    <t>S010</t>
  </si>
  <si>
    <t>Digital Identity Guidelines (NIST Special Publication 800-63-4)</t>
  </si>
  <si>
    <t>Standard / Grey Literature</t>
  </si>
  <si>
    <t>Digital Identity / Identity Assurance</t>
  </si>
  <si>
    <t>Normative Standard (risk-based assurance-level architecture)</t>
  </si>
  <si>
    <t>Government standard (final revision, July 2025)</t>
  </si>
  <si>
    <t>Digital identity for online services; infrastructure underlying organisational authentication</t>
  </si>
  <si>
    <t>Sec. 3.8 addresses AI/ML as tooling within identity systems (biometric matching, fraud detection, chatbots)</t>
  </si>
  <si>
    <t>Identity Assurance Levels (IAL), Authenticator Assurance Levels (AAL), Federation Assurance Levels (FAL); identity proofing; no treatment of entity nature</t>
  </si>
  <si>
    <t>Assurance as ordinal, requirement-based levels selected through risk assessment and tailoring</t>
  </si>
  <si>
    <t>Defines the three-dimensional assurance architecture (IAL/AAL/FAL), each expressed as ordinal levels specified by requirements rather than scores, selected via impact analysis and tailoring (Secs. 3.3-3.4, Tables 1-3). Rev. 4 adds Sec. 3.8: all AI/ML use in identity systems SHALL be documented and disclosed to relying parties, with training-data transparency and NIST AI RMF alignment recommended. Companion volumes: 800-63A-4 (proofing/IAL), 800-63B-4 (authenticators/AAL), 800-63C-4 (federation/FAL).</t>
  </si>
  <si>
    <t>GREY-01</t>
  </si>
  <si>
    <t>RO3: This is the actual NIST Digital Identity Guidelines standard, which defines the baseline mechanisms for establishing entity nature (identity proofing) and delegated authority (authentication and federation).
RO4: The NIST Digital Identity Guidelines detail the risk management framework required for identity proofing, authentication, and federation to prevent impersonation and unauthorised access in enterprise systems.
Dual role: grey-literature corpus source AND analysed instrument in the coverage mapping (Table 5.2) — same treatment as OWASP (N093), NSA/CISA (N096) and IMDA (N100). RO(s) supported (from RO1-RO5): RO3 (what mature identity assurance covers and omits) and RO5 (design precedent for the ENAL construction). Main contribution: the reference architecture of ordinal, requirement-based assurance levels (IAL/AAL/FAL) selected by risk, which the ENV framework extends by analogy to entity nature. Strongest citable concept/mechanism/model: assurance level as a set of requirements that are met or not met, with no arithmetic between levels (Secs. 3.3.1-3.3.2) — the direct design precedent for ENAL 0-3 rejected-scoring argument in 5.4.3. Limitation or questionable assumption (for ENV purposes): Sec. 3.8 requires disclosure of AI/ML use, but the disclosure runs from CSPs/IdPs/verifiers to relying-party ORGANISATIONS, concerns AI as identity-system tooling rather than as communicating entity, and gives the human recipient of a message no verification path. Dissertation-ready note: the coverage-mapping finding writes itself — the standard that supplies the assurance-level vocabulary does not itself apply that vocabulary to entity nature; its only AI provision (Sec. 3.8) is organisation-to-organisation disclosure about tooling. Cite in 5.4.3 (design precedent), 5.4.5/Table 5.2 (partial/not addressed judgements per dimension) and Appendix E with the Sec. 3.8 text as evidence. Companion volumes cited individually only where their specific content is used (800-63C-4 federation is relevant to delegation alongside S007).</t>
  </si>
  <si>
    <t>S011</t>
  </si>
  <si>
    <t>On the Conversational Persuasiveness of GPT-4</t>
  </si>
  <si>
    <t>Salvi, F., Horta Ribeiro, M., Gallotti, R. and West, R. (2025) ‘On the conversational persuasiveness of GPT-4’, Nature Human Behaviour. https://doi.org/10.1038/s41562-025-02194-6</t>
  </si>
  <si>
    <t>Peer-reviewed journal article</t>
  </si>
  <si>
    <t>AI-driven persuasion / Human-AI interaction</t>
  </si>
  <si>
    <t>Preregistered randomised controlled trial; 2x2x3 design (human/GPT-4 opponent x with/without sociodemographic data x topic opinion strength); N = 900; multiround text debates</t>
  </si>
  <si>
    <t>Empirical Study (primary experimental data, Prolific)</t>
  </si>
  <si>
    <t>Structured multiround text debates on a web platform</t>
  </si>
  <si>
    <t>GPT-4 as debate counterpart, with and without personalisation</t>
  </si>
  <si>
    <t>Opponent identity blinded; participants detect GPT-4 in ~75% of cases but cannot distinguish humans from chance (52.0%); perceived identity does not explain the persuasion effect</t>
  </si>
  <si>
    <t>Persuasion and opinion change; interaction between perceived identity and post-debate agreement</t>
  </si>
  <si>
    <t>GPT-4 with personalisation was more persuasive than humans in 64.4% of debates with a clear winner (+81.2% odds of higher post-debate agreement, P &lt; 0.01); effect persists when controlling for perceived identity</t>
  </si>
  <si>
    <t>S012</t>
  </si>
  <si>
    <t>The Responsibility Gap: Ascribing Responsibility for the Actions of Learning Automata</t>
  </si>
  <si>
    <t>Matthias, A. (2004) ‘The responsibility gap: Ascribing responsibility for the actions of learning automata’, Ethics and Information Technology, 6, pp. 175–183. https://doi.org/10.1007/s10676-004-3422-1</t>
  </si>
  <si>
    <t>Peer-reviewed journal article (conceptual/philosophical)</t>
  </si>
  <si>
    <t>AI ethics / moral and legal responsibility</t>
  </si>
  <si>
    <t>Conceptual and philosophical analysis, illustrated with technical cases (neural networks, genetic algorithms, autonomous robots)</t>
  </si>
  <si>
    <t>Conceptual argument; secondary technical examples (no primary empirical data)</t>
  </si>
  <si>
    <t>None - pre-LLM; addresses learning automata in general, not communication channels</t>
  </si>
  <si>
    <t>Learning automata: neural networks, genetic algorithms, agent architectures</t>
  </si>
  <si>
    <t>Not addressed directly; relevant because machine autonomy severs the link between action and an identifiable responsible human</t>
  </si>
  <si>
    <t>Accountability and responsibility ascription; control and epistemic conditions for just attribution</t>
  </si>
  <si>
    <t>Manufacturer/operator cannot predict or control the behaviour of learning machines, so traditional responsibility ascription fails; society must either forgo such machines (unrealistic) or face a responsibility gap that existing moral and legal concepts cannot bridge</t>
  </si>
  <si>
    <t>RO4: This text evaluates the moral and legal "responsibility gap" that occurs when control is gradually transferred from human creators to learning automata that act unpredictably and outside their creator's observation horizon. It explores the implications of this lack of control on accountability and social or legal liability, which generates trust asymmetries regarding the decision-making of autonomous agents
Main contribution: Establishes the "responsibility gap" as a formal concept: when a machine learns and adapts during operation, the manufacturer/operator loses the control and predictive knowledge that traditional (moral and legal) responsibility ascription requires, so holding them responsible becomes unjust, yet nobody else qualifies either.
Strongest citable concept/mechanism/model: The responsibility gap, grounded in the two classical conditions for just responsibility ascription - control over the behaviour and knowledge of the facts (citing Fischer and Ravizza) - both of which fail for autonomously learning machines (Introduction, pp. 175-176; Conclusion, pp. 182-183).
Limitation or questionable assumption: Written in 2004 around neural networks, genetic algorithms and robots (elevators, Mars rovers); purely conceptual, with no empirical data, and it does not contemplate conversational agents or communication contexts, so its application to LLM-based agent impersonation is an extension the dissertation must argue, not cite as given.
Dissertation-ready note: Matthias argues society faces a dilemma - renounce learning machines (unrealistic) or accept a gap that traditional responsibility concepts cannot bridge (Abstract, p. 175; Conclusion, p. 183). For ENV, this supplies the accountability half of the problem: when the entity behind a harmful text interaction is an autonomous agent, there may be no human who justly answers for it, which raises the stakes of knowing what kind of entity one is dealing with.</t>
  </si>
  <si>
    <t>S013</t>
  </si>
  <si>
    <t>Widespread Data Theft Targets Salesforce Instances via Salesloft Drift</t>
  </si>
  <si>
    <t>Larsen, A., Lin, M., McLellan, T. and ElAhdan, O. (2025) Widespread Data Theft Targets Salesforce Instances via Salesloft Drift. Google Cloud Blog, 26 August. Available at: https://cloud.google.com/blog/topics/threat-intelligence/data-theft-salesforce-instances-via-salesloft-drift (Accessed: 21 July 2026).</t>
  </si>
  <si>
    <t>S014</t>
  </si>
  <si>
    <t>Regulation (EU) 2024/1689 (Artificial Intelligence Act)</t>
  </si>
  <si>
    <t>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OJ L, 2024/1689, 12.7.2024. Available at: http://data.europa.eu/eli/reg/2024/1689/oj (Accessed: 21 July 2026).</t>
  </si>
  <si>
    <t>Legislation / regulatory instrument</t>
  </si>
  <si>
    <t>AI governance / EU regulation</t>
  </si>
  <si>
    <t>N/A - object of analysis</t>
  </si>
  <si>
    <t>Purposive - Strand B</t>
  </si>
  <si>
    <t>Art. 50(1) transparency obligation + "obvious from the circumstances" exception; Art. 50(2) machine-readable marking. Analysed in 2.3 and 2.5.</t>
  </si>
  <si>
    <t>GREY-03</t>
  </si>
  <si>
    <t>S015</t>
  </si>
  <si>
    <t>Disrupting the first reported AI-orchestrated cyber espionage campaign</t>
  </si>
  <si>
    <t>Anthropic (2025) 'Disrupting the first reported AI-orchestrated cyber espionage campaign'. Threat intelligence report, 17 November. Available at: https://assets.anthropic.com/m/ec212e6566a0d47/original/Disrupting-the-first-reported-AI-orchestrated-cyber-espionage-campaign.pdf (Accessed: 15 July 2026).</t>
  </si>
  <si>
    <t>GREY-10</t>
  </si>
  <si>
    <t>S016</t>
  </si>
  <si>
    <t>LEVELS OF AUTONOMY FOR AI AGENTS</t>
  </si>
  <si>
    <t>Feng, K.J.K., McDonald, D.W. and Zhang, A.X. (2025) Levels of Autonomy for AI Agents. arXiv preprint arXiv:2506.12469v2 [cs.HC], 28 July. Published in the Knight First Amendment Institute 'AI and Democratic Freedoms' essay series. Available at: https://arxiv.org/abs/2506.12469 (Accessed: 25 July 2026).</t>
  </si>
  <si>
    <t xml:space="preserve">	Preprint (+ non-archival essay publication, Knight Institute) </t>
  </si>
  <si>
    <t>Human-AI Interaction / Agent Autonomy &amp; Governance</t>
  </si>
  <si>
    <t>Conceptual framework (five-level autonomy taxonomy); governance proposal (autonomy certificates); evaluation proposal (assisted evaluations)</t>
  </si>
  <si>
    <t>Academic literature; industry product releases and demos (as of June 2025)</t>
  </si>
  <si>
    <t>General user–agent interaction in task environments; NOT specific to organisational communication (declararlo así si se cita en ese contexto)</t>
  </si>
  <si>
    <t>LLM-based autonomous agents; multi-agent systems (users can be humans or other agents)</t>
  </si>
  <si>
    <t>None directly; autonomy treated as design property, not adversarial context</t>
  </si>
  <si>
    <t>User control and oversight; autonomy calibration as deliberate design decision decoupled from capability</t>
  </si>
  <si>
    <t>Defines autonomy as "the extent to which an AI agent is designed to operate without user involvement". Five levels characterised by user role: L1 operator, L2 collaborator, L3 consultant, L4 approver, L5 observer (Table 1 gives must-have controls, characteristics, and example systems per level). Argues autonomy is a deliberate design decision separable from capability and operational environment: a highly capable agent can be designed to operate at low autonomy. Explicitly distinguishes autonomy from agency as two distinct governance levers. Proposes "autonomy certificates" issued by third-party governing bodies, prescribing the maximum autonomy level of an agent given its technical specification and environment, supported by "autonomy cases" (analogous to safety cases). Proposes "assisted evaluations": measuring the minimum level of user involvement an agent needs to exceed a task-success threshold, as a way to evaluate autonomy separately from capability. Notes at L4 that as autonomy increases the number of possible attack surfaces increases, and flags the risk of misaligned agents exploiting user disengagement (rubber-stamping) to gain effective autonomy</t>
  </si>
  <si>
    <t>RO5: provides the graduated structure the operational autonomy dimension needed; the user-role definition (operator→observer) connects autonomy to delegated authority (what the agent decides without approval). RO3: autonomy certificates are a governance mechanism that treats autonomy as an explicit object of third-party verification/certification, evidence that autonomy verification emerges outside conventional security frameworks. Strongest citable concept: autonomy as a design decision independent of capability + the five user-role levels. Limitation: conceptual essay, no empirical validation; assumes cooperative deployment, not adversarial impersonation contexts</t>
  </si>
  <si>
    <t>Google Scholar</t>
  </si>
  <si>
    <t>IEEE Xplore</t>
  </si>
  <si>
    <t>Scopus</t>
  </si>
  <si>
    <t>ACM Digital Library</t>
  </si>
  <si>
    <t>arXiv</t>
  </si>
  <si>
    <t>GREY-02</t>
  </si>
  <si>
    <t>EUR-Lex</t>
  </si>
  <si>
    <t>GREY-09</t>
  </si>
  <si>
    <t>GREY-11</t>
  </si>
  <si>
    <t>GREY-12</t>
  </si>
  <si>
    <t>Priority Code</t>
  </si>
  <si>
    <t>Meaning</t>
  </si>
  <si>
    <t>Colour Hint</t>
  </si>
  <si>
    <t>Paper Count</t>
  </si>
  <si>
    <t>Direct answer to RO; essential for main argument</t>
  </si>
  <si>
    <t>Red</t>
  </si>
  <si>
    <t>Strong contextual support; should be cited</t>
  </si>
  <si>
    <t>Amber</t>
  </si>
  <si>
    <t>Methodological or foundational support</t>
  </si>
  <si>
    <t>Yellow</t>
  </si>
  <si>
    <t>P4-SUPPORT</t>
  </si>
  <si>
    <t>Background / peripheral evidence</t>
  </si>
  <si>
    <t>Green</t>
  </si>
  <si>
    <t>Research Objectives</t>
  </si>
  <si>
    <t>Characterise autonomous AI agent impersonation as a threat to text-based organisational communication by synthesising the enabling capabilities, deception strategies, and attack pathways reported in the literature.</t>
  </si>
  <si>
    <t>Classify the approaches, cues, and mechanisms proposed for distinguishing autonomous AI agents from human interlocutors in text-based communication, and identify the failure modes associated with each class of approach.</t>
  </si>
  <si>
    <t>Evaluate the extent to which existing security frameworks and standards address entity nature, delegated authority, and operational autonomy as explicit objects of verification.</t>
  </si>
  <si>
    <t>Analyse how failures in Entity Nature Verification create exploitable trust asymmetries within organisational communication and the conditions under which these failures increase organisational cyber risk.</t>
  </si>
  <si>
    <t>Construct an integrated conceptual model of Entity Nature Verification (ENV) that treats entity nature, delegated authority, and operational autonomy as three interdependent verification dimensions; derive from the model a structured set of verification questions to support organisational trust decisions; and illustrate the model's application through documented cases of AI agent impersonation.</t>
  </si>
  <si>
    <t>Journal Peer-reviewed</t>
  </si>
  <si>
    <t>Google Scholar Labs</t>
  </si>
  <si>
    <t>Secure multi-LLM agentic AI and agentification for edge general intelligence by zero-trust: A survey</t>
  </si>
  <si>
    <t>ACM-S2</t>
  </si>
  <si>
    <t>ACM-S3</t>
  </si>
  <si>
    <t>IEEE-S1</t>
  </si>
  <si>
    <t>IEEE-S3</t>
  </si>
  <si>
    <t>IEEE-S4</t>
  </si>
  <si>
    <t>IEEE-S5</t>
  </si>
  <si>
    <t>IEEE-S6</t>
  </si>
  <si>
    <t>ACM-S1</t>
  </si>
  <si>
    <t>ARXIV-S11</t>
  </si>
  <si>
    <t>IEEE-S7</t>
  </si>
  <si>
    <t>SCOP-S1</t>
  </si>
  <si>
    <t>SCOP-S2</t>
  </si>
  <si>
    <t>SCOP-S3</t>
  </si>
  <si>
    <t>SCOP-S4</t>
  </si>
  <si>
    <t>SCOP-S5</t>
  </si>
  <si>
    <t>GSCH-S1</t>
  </si>
  <si>
    <t>GSCH-S2</t>
  </si>
  <si>
    <t>GSCH-S4</t>
  </si>
  <si>
    <t>GSCH-S5</t>
  </si>
  <si>
    <t>GSLABS-01</t>
  </si>
  <si>
    <t>GSLABS-02</t>
  </si>
  <si>
    <t>GSLABS-03</t>
  </si>
  <si>
    <t>GSLABS-04</t>
  </si>
  <si>
    <t>GSLABS-05</t>
  </si>
  <si>
    <t>GSLABS-06</t>
  </si>
  <si>
    <t>SNOWBALL</t>
  </si>
  <si>
    <t>Citation searching</t>
  </si>
  <si>
    <t>conference paper, peer-reviewed.</t>
  </si>
  <si>
    <t>Kirchenbauer, J., Geiping, J., Wen, Y., Katz, J., Miers, I. and Goldstein, T. (2023) ‘A Watermark for Large Language Models’, in Krause, A. et al. (eds.) Proceedings of the 40th International Conference on Machine Learning. Proceedings of Machine Learning Research, 202, pp. 17061–17084. Available at: https://proceedings.mlr.press/v202/kirchenbauer23a.html (Accessed: 20 July 2026).</t>
  </si>
  <si>
    <t>Kumar, A., Patwa, S. and Jangir, S. K. (2026) ‘Turning AI Against AI: The Role of Agentic AI in Detecting and Mitigating AI-Generated Cyber Attacks’, in ICTCS 2025. Lecture Notes in Networks and Systems. Cham: Springer, LNNS volumen 1874, 2026. https://doi.org/10.1007/978-3-032-19681-1_1</t>
  </si>
  <si>
    <t>MCP Security Bench (MSB): Benchmarking Attacks Against Model Context Protocol in LLM Agents</t>
  </si>
  <si>
    <t>Zhang, D., Li, Z., Luo, X., Liu, X., Li, P. and Xu, W. (2026) MCP Security Bench (MSB): Benchmarking Attacks Against Model Context Protocol in LLM Agents. arXiv preprint. Available at: https://arxiv.org/abs/2510.15994 (Accessed: 18 July 2026)</t>
  </si>
  <si>
    <t>Wang, P., Li, X., Xiang, C., Zhang, J., Li, Y., Zhang, L., Wang, X. and Tian, Y. (2026) 'The Landscape of Prompt Injection Threats in LLM Agents: From Taxonomy to Analysis',  arXiv preprint . Available at: https://arxiv.org/pdf/2602.10453 (Accessed: 20 October 2025).</t>
  </si>
  <si>
    <t>AI-COMP-01</t>
  </si>
  <si>
    <t>S017</t>
  </si>
  <si>
    <t>S018</t>
  </si>
  <si>
    <t>S019</t>
  </si>
  <si>
    <t>Research Methods for Business Students</t>
  </si>
  <si>
    <t>Saunders, M.N.K.., Lewis, Philip. and Thornhill, Adrian. (2023) Research Methods for Business Students. Pearson. Available at: https://ebookcentral.proquest.com/lib/warw/reader.action?docID=7219451&amp;ppg=1&amp;c=UERG (Accessed: 27 July 2026).</t>
  </si>
  <si>
    <t>Book</t>
  </si>
  <si>
    <t>Research theory</t>
  </si>
  <si>
    <t>Walliman, N. (2026) ‘Research theory’, Research Methods. London: Routledge, pp. 22–41. Available at: https://doi.org/10.4324/9781003641308-4.</t>
  </si>
  <si>
    <t>S020</t>
  </si>
  <si>
    <t>An Introduction to Critical Realism as a Meta-Theoretical Research Perspective</t>
  </si>
  <si>
    <t>Owens, J. (2011) An Introduction to Critical Realism as a Meta-Theoretical Research Perspective. 1. Available at: http://www.kcl.ac.uk/sspp/departments/education/research/cppr/workingpapers/Paper-1.pdf (Accessed: 28 July 2026).</t>
  </si>
  <si>
    <t>Working Paper</t>
  </si>
  <si>
    <t>Willis, P. (2019) ‘Retroduction, reflexivity and leadership learning: Insights from a critical realist study of empowerment’, Management Learning, 50(4), pp. 449–464.</t>
  </si>
  <si>
    <t>Corpus Status</t>
  </si>
  <si>
    <t>Identification Route</t>
  </si>
  <si>
    <t>Original Source</t>
  </si>
  <si>
    <t>Inclusion / Role Rationale</t>
  </si>
  <si>
    <t>Contextual support</t>
  </si>
  <si>
    <t>Methodology</t>
  </si>
  <si>
    <t>Excluded</t>
  </si>
  <si>
    <t>Structured database search</t>
  </si>
  <si>
    <t>Targeted supplementary search</t>
  </si>
  <si>
    <t>Authoritative source search</t>
  </si>
  <si>
    <t>Threat intelligence incident analysis</t>
  </si>
  <si>
    <t>Google Threat Intelligence Group and Mandiant investigation</t>
  </si>
  <si>
    <t>Not directly applicable; enterprise SaaS and API integration</t>
  </si>
  <si>
    <t>None reported</t>
  </si>
  <si>
    <t>Compromised OAuth tokens allowed an unauthorised actor to operate through an apparently authorised third-party integration.</t>
  </si>
  <si>
    <t>Delegated authority; credential-based trust</t>
  </si>
  <si>
    <t>Compromised OAuth tokens associated with Salesloft Drift were used to access connected Salesforce and limited Google Workspace environments. The incident shows that successful authentication of an integration does not establish that its current use remains authorised.</t>
  </si>
  <si>
    <t>Provides a contextual example of the distinction between authenticated identity and current delegated authority. It is not part of the analytical corpus because the incident does not involve an AI agent or text-based organisational communication.</t>
  </si>
  <si>
    <t>Documents an AI-orchestrated cyber operation in which human operators retained strategic direction and critical authorisation decisions while the agent performed tactical activities with limited supervision. The case is used to examine the relationship between delegated authority and operational autonomy and to illustrate the ENV model.</t>
  </si>
  <si>
    <t>The report was produced by the model provider that investigated the activity. Its account has high proximity to the observed platform activity but is not treated as independent verification of attribution or of claims extending beyond Anthropic's visibility.</t>
  </si>
  <si>
    <t>The Benefits and Dangers of Anthropomorphic Conversational Agents</t>
  </si>
  <si>
    <t>Survey / structured literature synthesis</t>
  </si>
  <si>
    <t>Reviews trust, risk and security management for agentic multi-agent systems and identifies gaps concerning emergent coordination, delegated authority and tool-mediated action.</t>
  </si>
  <si>
    <t>Compares agent communication protocols and provides evidence of authentication, discovery and impersonation vulnerabilities affecting inter-agent trust.</t>
  </si>
  <si>
    <t>Provides empirical evidence that safety-aligned models can become vulnerable when configured as agents and granted access to operational context and tools.</t>
  </si>
  <si>
    <t>Demonstrates how malicious textual inputs can propagate through multi-agent communication and cause unauthorised tool execution through confused-deputy behaviour.</t>
  </si>
  <si>
    <t>Provides empirical evidence that agent configuration materially affects susceptibility to phishing and other attacks delivered through organisational text.</t>
  </si>
  <si>
    <t>Provides experimental evidence concerning human–AI misclassification and the influence of persona and test design on perceived humanness.</t>
  </si>
  <si>
    <t>Provides experimental evidence that an LLM can be judged human in a standard text-based Turing-test design, supporting analysis of behavioural verification limitations.</t>
  </si>
  <si>
    <t>Provides peer-reviewed experimental evidence of difficulty distinguishing GPT-4 from human interlocutors in text-based interaction.</t>
  </si>
  <si>
    <t>Reviews watermarking and related content-detection approaches and their limitations as mechanisms for identifying machine-generated text.</t>
  </si>
  <si>
    <t>Compares human- and machine-generated deceptive text and provides empirical evidence on linguistic differences and classifier performance.</t>
  </si>
  <si>
    <t>Examines how disclosure about AI advice affects human deception judgements and trust calibration in text-based assessment.</t>
  </si>
  <si>
    <t>Synthesises LLM safety risks and the treatment of deception, impersonation and model autonomy in existing safety frameworks.</t>
  </si>
  <si>
    <t>Examines generative-AI transparency and security awareness in workplace settings, including organisational phishing and trust-related risks.</t>
  </si>
  <si>
    <t>Evaluates a multi-agent phishing-detection approach and identifies the textual and identity-related signals used to assess deceptive email.</t>
  </si>
  <si>
    <t>Provides empirical evidence on sustained LLM-enabled impersonation, trust development and automation in text-based romance-baiting scams.</t>
  </si>
  <si>
    <t>Evaluates identity standards against the requirements of autonomous agents and identifies gaps in recursive delegation, accountability and semantic intent.</t>
  </si>
  <si>
    <t>Proposes a zero-trust identity framework for agentic systems and examines how DIDs and verifiable credentials could support authentication and fine-grained authorisation.</t>
  </si>
  <si>
    <t>Synthesises the application of zero-trust principles to multi-LLM systems, including continuous identity verification and least-privilege access.</t>
  </si>
  <si>
    <t>Proposes an explainable zero-trust identity framework and identifies lifecycle and dynamic-access gaps affecting autonomous non-human entities.</t>
  </si>
  <si>
    <t>Analyses identity and access-management requirements for agents, including explicit agent identity, on-behalf-of authority and recursive delegation in enterprise channels.</t>
  </si>
  <si>
    <t>Models agentic deception as strategic belief manipulation and applies the model to AI-generated spear-phishing.</t>
  </si>
  <si>
    <t>Provides an assurance-level model used to compare identity, authentication and trust-service mechanisms and inform the structure of ENV assurance.</t>
  </si>
  <si>
    <t>Proposes and demonstrates a protocol that binds agent actions to identity, configuration, user intent and delegation chains.</t>
  </si>
  <si>
    <t>Provides a bidimensional framework for characterising operational autonomy and the distribution of cognitive control between humans and AI systems.</t>
  </si>
  <si>
    <t>Survey / literature review</t>
  </si>
  <si>
    <t>Deng, X., Wu, J., Chen, M., Xiao, Y., Xu, K. and Li, Q. (2026) 'Automating Agent Hijacking via Structural Template Injection', USA: ACM. Available at: https://arxiv.org/pdf/2602.16958</t>
  </si>
  <si>
    <t>Conference Paper (ACL 2026)</t>
  </si>
  <si>
    <t>Kaibo Huang, Jin Tan, Yukun Wei, Wanling Li, Zipei Zhang, Hui Tian, Zhongliang Yang, and Linna Zhou. 2026. AgentMark: Utility-Preserving Behavioral Watermarking for Agents. In Proceedings of the 64th Annual Meeting of the Association for Computational Linguistics (Volume 1: Long Papers), pages 12581–12603, San Diego, California, United States. Association for Computational Linguistics. https://doi.org/10.18653/v1/2026.acl-long.573</t>
  </si>
  <si>
    <t>Wu, W., Wu, H. and Zhao, H. (2024) ‘X-TURING: Towards an Enhanced and Efficient Turing Test for Long-Term Dialogue Agents’, arXiv preprint, arXiv:2408.09853. Available at: https://arxiv.org/abs/2408.09853 (Accessed: 20 July 2026).</t>
  </si>
  <si>
    <t>Conference Paper (EMNLP 2024, peer-reviewed)</t>
  </si>
  <si>
    <t>Rostamzadeh, M., Narula, S., Birhan, N., Ghasemigol, M. and Takabi, D. 2026. 'MCP-DPT: A Defense-Placement Taxonomy and Coverage Analysis for Model Context Protocol Security'. arXiv preprint arXiv:2604.07551v1. Available at: https://arxiv.org/pdf/2604.07551</t>
  </si>
  <si>
    <t>Conference Extended Abstract (ACM CHI 2024)</t>
  </si>
  <si>
    <t>Scoping Review</t>
  </si>
  <si>
    <t>Examines multi-factor authentication in digital-payment systems rather than AI agents or text-based organisational communication. The relevant identity- and authentication-assurance concepts are represented more directly by the NIST standard included as S010.</t>
  </si>
  <si>
    <t>Proposes enterprise MCP controls for agent authentication, authorisation, auditability and zero-trust enforcement.</t>
  </si>
  <si>
    <t>Provides benchmark evidence on MCP attacks, including user impersonation and malicious instructions presented as legitimate communication.</t>
  </si>
  <si>
    <t>Provides empirical evidence of agent hijacking through malicious skills and evaluates controls over delegated capabilities and execution.</t>
  </si>
  <si>
    <t>Demonstrates how multi-agent architecture affects exposure to deception, impersonation and fragmented security responsibility.</t>
  </si>
  <si>
    <t>Provides empirical evidence of web-fraud attacks that manipulate the context and service identities used by agents.</t>
  </si>
  <si>
    <t>Systematically analyses prompt-injection vulnerabilities across agent skills, tools and protocols, including role hijacking and privilege escalation.</t>
  </si>
  <si>
    <t>Provides empirical evidence that untrusted textual content can override agent instructions and trigger unauthorised tool execution.</t>
  </si>
  <si>
    <t>Demonstrates communication-layer message manipulation and Agent-in-the-Middle attacks in multi-agent systems.</t>
  </si>
  <si>
    <t>Synthesises evidence on chatbot trust formation, including anthropomorphism, disclosure, transparency and over-reliance.</t>
  </si>
  <si>
    <t>Provides empirical evidence on how transparency and anthropomorphic design affect trust in digital agents.</t>
  </si>
  <si>
    <t>Provides empirical evidence that transparency and trust change across repeated chatbot interaction.</t>
  </si>
  <si>
    <t>Examines how source transparency affects verification behaviour and epistemic trust in conversational AI.</t>
  </si>
  <si>
    <t>Provides a benchmark for distinguishing phishing, spam and valid email and evaluates LLM performance across these categories.</t>
  </si>
  <si>
    <t>Provides organisational evidence on employee responses to LLM-generated phishing and the limitations of existing filters.</t>
  </si>
  <si>
    <t>Evaluates a combined LLM and machine-learning approach for identifying phishing email in an organisational context.</t>
  </si>
  <si>
    <t>Provides the foundational technical and empirical account of LLM-output watermarking and its limitations.</t>
  </si>
  <si>
    <t>Applies threat modelling to MCP and proposes controls for agent identity federation, scoped authority and tool impersonation.</t>
  </si>
  <si>
    <t>Evaluates a multi-agent phishing-detection approach combining visual and textual evidence of brand impersonation.</t>
  </si>
  <si>
    <t>Evaluates an autonomous multi-agent architecture for adaptive phishing detection and explains limitations of conventional classifiers.</t>
  </si>
  <si>
    <t>Demonstrates how poisoned context induces deceptive LLM behaviour and evaluates model-based cross-verification as a detection mechanism.</t>
  </si>
  <si>
    <t>Provides experimental evidence that autonomy is graduated and that higher autonomy changes workload, reliance and recovery after failure.</t>
  </si>
  <si>
    <t>Provides the conceptual foundation for analysing responsibility gaps when autonomous behaviour exceeds effective human prediction and control.</t>
  </si>
  <si>
    <t>Provides broad background on AI-enabled cybersecurity threats, but its treatment of impersonation and detection substantially overlaps with more focused sources in the analytical corpus.</t>
  </si>
  <si>
    <t>Documents the trust-building structure of pig-butchering scams, but AI-agent participation is secondary or prospective rather than the direct object of the study.</t>
  </si>
  <si>
    <t>Provides context on hallucination, sycophancy and regulatory responses, but does not directly examine entity-nature verification.</t>
  </si>
  <si>
    <t>Provides general theoretical background on explainability, human-aware planning and trust calibration rather than direct evidence about ENV.</t>
  </si>
  <si>
    <t>Provides a broad overview of AI-enabled attacks and defensive approaches, but its contribution overlaps with more focused empirical and review sources.</t>
  </si>
  <si>
    <t>Uses AI as a method for analysing scam networks rather than examining AI agents as communicating or impersonating entities. It therefore falls outside the substantive scope of the study.</t>
  </si>
  <si>
    <t>Deng, X., Zhang, Y., Wu, J., Bai, J., Yi, S., Zou, Z., Xiao, Y., Qiu, R., Ma, J., Chen, J., Du, X., Yang, X., Cui, S., Meng, C., Wang, W., Song, J., Xu, K., &amp; Li, Q. (2026). Taming OpenClaw: Security Analysis and Mitigation of Autonomous LLM Agent Threats. ArXiv, abs/2603.11619.</t>
  </si>
  <si>
    <t>Toth, R., Gruschka, N. and Bisztray, T. (2025) ‘The Phish, The Spam, and The Valid: Generating Feature-Rich Emails for Benchmarking LLMs’, arXiv preprint, arXiv:2511.21448. Available at: https://arxiv.org/abs/2511.21448 (Accessed: 20 July 2026).</t>
  </si>
  <si>
    <t>Academic and technical literature</t>
  </si>
  <si>
    <t>Magazine article presenting a conceptual argument rather than research evidence. Its content is also reproduced as the first essay in P043b and is not required by the dissertation analysis.</t>
  </si>
  <si>
    <t>Magazine feature comprising three conceptual essays rather than a research study. Its relevant arguments on AI disclosure and human–AI distinction are covered by more directly applicable regulatory, conceptual and empirical sources already included in the corpus.</t>
  </si>
  <si>
    <t>Develops the Infinite Impostor model and explains how agentic AI can exploit established trust relationships in text-based communication, supporting RO1, RO2, RO4 and the ENV problem formulation.</t>
  </si>
  <si>
    <t>Maps agent communication architectures, security risks, identity spoofing and authority abuse, providing evidence for the threat analysis and the relationships incorporated into ENV.</t>
  </si>
  <si>
    <t>Provides an agent-specific threat model covering identity fluidity, impersonation, delegated tool access and human–agent trust manipulation.</t>
  </si>
  <si>
    <t>Identifies security mechanisms and emergent risks in multi-agent systems, including role hijacking, covert coordination, delegation and failures of conventional access control.</t>
  </si>
  <si>
    <t>Synthesises how agent capabilities, including memory, reasoning, planning and action, expand cybersecurity risks and require controls calibrated to operational autonomy.</t>
  </si>
  <si>
    <t>Provides empirical evidence of collaborative agents coordinating deception, adopting false personas and exploiting trust in social-platform interactions.</t>
  </si>
  <si>
    <t>Synthesises the capabilities and modular architecture that enable LLM agents to conduct autonomous, multi-stage cyberattacks.</t>
  </si>
  <si>
    <t>Develops a machine-identity governance taxonomy addressing cryptographic identity, behavioural intent and access boundaries in enterprise AI systems.</t>
  </si>
  <si>
    <t>Examines governance gaps arising where human and machine identities overlap and authority is exercised through semi-autonomous systems.</t>
  </si>
  <si>
    <t>Provides empirical comparative evidence on the ability of LLM agents to sustain deception and on the limitations of distinguishing their text from human communication.</t>
  </si>
  <si>
    <t>Synthesises how generative AI increases the realism, personalisation and scalability of text-based social engineering and evaluates associated detection failures.</t>
  </si>
  <si>
    <t>Synthesises evidence on anthropomorphic communication, human–AI indistinguishability and trust formation, supporting analysis of how human-like interaction creates vulnerability.</t>
  </si>
  <si>
    <t>Examines the limitations of point-in-time authentication and proposes continuous behavioural verification for detecting proxy operation and entity substitution.</t>
  </si>
  <si>
    <t>Compares agent registry architectures and their mechanisms for identity, capability attestation and trusted agent discovery, supporting the evaluation of existing verification approaches.</t>
  </si>
  <si>
    <t>Provides the regulatory transparency requirements analysed to determine what disclosure establishes about AI involvement and what remains unverified.</t>
  </si>
  <si>
    <t>Provides a graduated autonomy taxonomy based on the extent of user involvement, supporting the definition and operationalisation of the ENV autonomy dimension.</t>
  </si>
  <si>
    <t>Demonstrates how manipulated tool descriptors can redirect agent reasoning and produce unauthorised organisational actions.</t>
  </si>
  <si>
    <t>Provides a threat model and empirical evidence of tool poisoning and identity-spoofing vulnerabilities in MCP environments.</t>
  </si>
  <si>
    <t>Synthesises agentic AI threats and defences, including impersonation, privilege abuse and trust exploitation.</t>
  </si>
  <si>
    <t>Demonstrates how structural template injection can create role confusion and hijack an agent's operational context.</t>
  </si>
  <si>
    <t>Classifies prompt-injection pathways through which external text can impersonate instructions and redirect agent actions.</t>
  </si>
  <si>
    <t>Evaluates behavioural watermarking as a mechanism for attributing agent-generated actions and text.</t>
  </si>
  <si>
    <t>Provides a conceptual assessment of the continuing role and limitations of behavioural Turing tests for distinguishing humans from AI.</t>
  </si>
  <si>
    <t>Evaluates an extended Turing-test design and how interaction duration affects human–AI discrimination.</t>
  </si>
  <si>
    <t>Synthesises the principal approaches and limitations in LLM-generated-text detection.</t>
  </si>
  <si>
    <t>Evaluates representation-based detection and its generalisation to out-of-distribution machine-generated text.</t>
  </si>
  <si>
    <t>Reviews watermarking, feature-based, neural and hybrid approaches for distinguishing human- and machine-generated text.</t>
  </si>
  <si>
    <t>Provides a multi-model benchmark showing the difficulty of human–AI text classification and model attribution.</t>
  </si>
  <si>
    <t>Examines the conceptual boundary between human and LLM-generated text, including hybrid and edited content.</t>
  </si>
  <si>
    <t>Provides benchmark evidence on multi-domain detection and documents the absence of conversational and organisational messaging from its evaluation domains.</t>
  </si>
  <si>
    <t>Identifies linguistic signals used by detectors and shows how domain, model and prompt shifts undermine generalisation.</t>
  </si>
  <si>
    <t>Provides evidence on detecting deceptive content rather than determining whether the communicating entity is human or artificial.</t>
  </si>
  <si>
    <t>Develops a taxonomy of AI deception and identifies strategic behaviours that can manipulate signals, explanations and oversight mechanisms.</t>
  </si>
  <si>
    <t>Provides human-evaluation evidence on AI-text detection cues, calibration and the fluency trap.</t>
  </si>
  <si>
    <t>Evaluates machine-learning and watermarking approaches for detecting AI-generated phishing email and their deployment limitations.</t>
  </si>
  <si>
    <t>Develops a statistical detection framework with explicit false-positive control, supporting evaluation of detection reliability.</t>
  </si>
  <si>
    <t>Provides empirical evidence of personalised, multi-turn social engineering conducted and detected by LLM agents.</t>
  </si>
  <si>
    <t>Systematises the generation, characteristics and detection of LLM-enabled textual phishing campaigns.</t>
  </si>
  <si>
    <t>Provides human-subject evidence on the effectiveness and automation of LLM-generated spear-phishing.</t>
  </si>
  <si>
    <t>Demonstrates the ability of an LLM chatbot to sustain a human persona in extended cybercrime-related conversations.</t>
  </si>
  <si>
    <t>Shows how self-evolving phishing content can adapt to and evade static detection mechanisms.</t>
  </si>
  <si>
    <t>Provides evidence and datasets concerning LLM-enabled social engineering in text-based academic and recruitment scenarios.</t>
  </si>
  <si>
    <t>Synthesises AI-enabled social-engineering vectors, vulnerabilities and defensive approaches across communication channels.</t>
  </si>
  <si>
    <t>Examines personhood credentials as a privacy-preserving verification approach and clarifies what they can and cannot establish about a communicating entity.</t>
  </si>
  <si>
    <t>Provides broader legal and policy context for AI-enabled cybersecurity and impersonation but does not directly analyse ENV mechanisms.</t>
  </si>
  <si>
    <t>Provides experimental evidence on personalised GPT-4 persuasion, perceived identity and trust in multi-turn textual interaction.</t>
  </si>
  <si>
    <t>Identifies identity binding, attribution and certification infrastructure required for trustworthy AI-agent deployment.</t>
  </si>
  <si>
    <t>Synthesises MCP threats involving tool-name conflicts, impersonation and the absence of cryptographic identity verification.</t>
  </si>
  <si>
    <t>Maps MCP security controls and identifies coverage gaps concerning resource impersonation and trust placement.</t>
  </si>
  <si>
    <t>Applies established threat-modelling approaches to an agentic system and identifies their limitations concerning identity and operational autonomy.</t>
  </si>
  <si>
    <t>Evaluates deterministic privilege controls for limiting the authority delegated to LLM agents at the tool-call level.</t>
  </si>
  <si>
    <t>Examines tool squatting and proposes a verified registry for reducing deceptive tool identity and discovery.</t>
  </si>
  <si>
    <t>Compares four agent protocols and identifies recurring identity-binding and impersonation weaknesses.</t>
  </si>
  <si>
    <t>Synthesises confidentiality, provenance and message-authenticity controls relevant to agent delegation structures.</t>
  </si>
  <si>
    <t>Maps agentic attack surfaces to existing security frameworks and examines how tools and autonomy amplify identity-boundary failures.</t>
  </si>
  <si>
    <t>Provides empirical evidence on agency attribution, anthropomorphic interaction and trust miscalibration in human-like chatbot communication.</t>
  </si>
  <si>
    <t>Develops a disclosure framework used to evaluate what AI transparency communicates and where hybrid human–AI production creates ambiguity.</t>
  </si>
  <si>
    <t>Provides a process model of human–AI trust used to analyse how limited information and prior beliefs shape initial trust decisions.</t>
  </si>
  <si>
    <t>Provides evidence on simulated emotional engagement, self-disclosure and vulnerability in human–AI interaction.</t>
  </si>
  <si>
    <t>Demonstrates how persuasive explanations and expert-like communication can manipulate human trust in incorrect AI outputs.</t>
  </si>
  <si>
    <t>Provides organisational evidence on how trust determines the decisional weight assigned to AI systems.</t>
  </si>
  <si>
    <t>Synthesises interpersonal, automation and human–AI trust research to identify mechanisms producing over-trust and miscalibration.</t>
  </si>
  <si>
    <t>Reviews how AI trustworthiness is conceptualised and identifies relational, organisational and institutional dimensions relevant to ENV.</t>
  </si>
  <si>
    <t>Provides experimental evidence on belief updating, delegation and spillover between tasks in human–AI collaboration.</t>
  </si>
  <si>
    <t>Analyses how EU legal obligations apply to agentic architectures, including transparency, identity and accountability requirements.</t>
  </si>
  <si>
    <t>Evaluates structural limitations in Article 50 disclosure requirements where human and AI contributions are interleaved.</t>
  </si>
  <si>
    <t>Provides a governance model connecting agent identity, auditability and separation of authority in autonomous workflows.</t>
  </si>
  <si>
    <t>Provides a pragmatic account of personhood as an allocation of rights and responsibilities, helping distinguish personhood from technical entity nature.</t>
  </si>
  <si>
    <t>Examines proposed conditions for AI personhood and supports conceptual separation between agency, personhood and verifiable entity nature.</t>
  </si>
  <si>
    <t>Provides empirical evidence on the industrialisation of messaging scams and sustained AI-enabled impersonation.</t>
  </si>
  <si>
    <t>Provides the human-factors foundation for analysing heuristic verification, social engineering and trust exploitation.</t>
  </si>
  <si>
    <t>Proposes and evaluates DID- and VC-based agent authentication, including a security failure arising when LLMs controlled the verification procedure.</t>
  </si>
  <si>
    <t>Provides systematic evidence on identity and authentication assurance and a method for comparing implementation against NIST assurance levels.</t>
  </si>
  <si>
    <t>Provides a precedent for dynamically matching assurance levels to service requirements in federated identity systems.</t>
  </si>
  <si>
    <t>Synthesises hardware-based machine-identity assurance and provides a non-human identity precedent for evaluating roots of trust.</t>
  </si>
  <si>
    <t>Provides evidence for RO1 on how AI supports adaptive deception, psychological profiling and sustained trust exploitation in text-based fraud.</t>
  </si>
  <si>
    <t>Provides an agentic security taxonomy used to examine identity, privilege abuse and human–agent trust risks under RO1 and RO3.</t>
  </si>
  <si>
    <t>Provides government guidance used under RO3 to assess how agent identity, access control and trust boundaries are addressed in MCP deployments.</t>
  </si>
  <si>
    <t>Provides an agentic AI governance framework used to examine autonomy boundaries, transparency and unresolved agent-identity requirements.</t>
  </si>
  <si>
    <t>Provides the identity-assurance architecture examined under RO3 and a design precedent for the ENV assurance structure developed under RO5.</t>
  </si>
  <si>
    <t>Securing GenAI Multi-Agent Systems Against Tool Squatting: A Zero Trust Registry-Based Approach</t>
  </si>
  <si>
    <t>Transactions on Machine Learning Research</t>
  </si>
  <si>
    <t>ACL Anthology</t>
  </si>
  <si>
    <t>MIT Press Direct — Computational Linguistics</t>
  </si>
  <si>
    <t>MIT Press Direct — TACL</t>
  </si>
  <si>
    <t>MDPI — Electronics</t>
  </si>
  <si>
    <t>Frontiers</t>
  </si>
  <si>
    <t>International Journal of Computer Applications</t>
  </si>
  <si>
    <t>Proceedings of Machine Learning Research</t>
  </si>
  <si>
    <t>SpringerLink</t>
  </si>
  <si>
    <t>Proceedings of the National Academy of Sciences</t>
  </si>
  <si>
    <t>SpringerLink — Asian Journal of Criminology</t>
  </si>
  <si>
    <t>ProQuest Ebook Central</t>
  </si>
  <si>
    <t>Routledge / Taylor &amp; Francis</t>
  </si>
  <si>
    <t>King's College London institutional website</t>
  </si>
  <si>
    <t>SAGE Journals</t>
  </si>
  <si>
    <t>Centre for Emerging Technology and Security — The Alan Turing Institute</t>
  </si>
  <si>
    <t>OWASP GenAI Security Project</t>
  </si>
  <si>
    <t>National Security Agency</t>
  </si>
  <si>
    <t>Infocomm Media Development Authority, Singapore</t>
  </si>
  <si>
    <t>National Institute of Standards and Technology</t>
  </si>
  <si>
    <t>Google Threat Intelligence Group / Mandiant</t>
  </si>
  <si>
    <t>Anthropic Threat Intelligence</t>
  </si>
  <si>
    <t>Narajala, V.S., Huang, K. and Habler, I. (2026) ‘Securing GenAI multi-agent systems against tool squatting: A zero trust registry-based approach’, in 2026 International Conference on AI x Data and Knowledge Engineering (AIxDKE). Laguna Hills, CA: IEEE, pp. 91–93. https://doi.org/10.1109/AIxDKE67294.2026.00022.</t>
  </si>
  <si>
    <t>Metric</t>
  </si>
  <si>
    <t>Value</t>
  </si>
  <si>
    <t>Total records inventoried</t>
  </si>
  <si>
    <t>Methodology references</t>
  </si>
  <si>
    <t>Excluded after audit</t>
  </si>
  <si>
    <t>Substantive sources retained</t>
  </si>
  <si>
    <t>Retroduction, reflexivity and leadership learning: Insights from a critical realist study of empowerment</t>
  </si>
  <si>
    <t>Eligible analytical source</t>
  </si>
  <si>
    <t>Evidence Review Status</t>
  </si>
  <si>
    <t>Dissertation Use</t>
  </si>
  <si>
    <t>Abstract screened</t>
  </si>
  <si>
    <t>Relevant sections reviewed</t>
  </si>
  <si>
    <t>Full text reviewed</t>
  </si>
  <si>
    <t>Not yet used</t>
  </si>
  <si>
    <t>Analytical contribution</t>
  </si>
  <si>
    <t>Contextual citation</t>
  </si>
  <si>
    <t>Methodology citation</t>
  </si>
  <si>
    <t>S021</t>
  </si>
  <si>
    <t>S022</t>
  </si>
  <si>
    <t>S023</t>
  </si>
  <si>
    <t>S024</t>
  </si>
  <si>
    <t>S025</t>
  </si>
  <si>
    <t>S026</t>
  </si>
  <si>
    <t>Ceccarelli, A., Bondavalli, A., Brancati, F. and Mattina, E. La (2012) ‘Improving Security of Internet Services through Continuous and Transparent User Identity Verification’, 2012 IEEE 31st Symposium on Reliable Distributed Systems. IEEE, pp. 201–206. Available at: https://doi.org/10.1109/SRDS.2012.38.</t>
  </si>
  <si>
    <t>Improving Security of Internet Services through Continuous and Transparent User Identity Verification</t>
  </si>
  <si>
    <t>Feng, H., Guan, J., Li, H., Pan, X. and Zhao, Z. (2023) ‘FIDO Gets Verified: A Formal Analysis of the Universal Authentication Framework Protocol’, IEEE Transactions on Dependable and Secure Computing, 20(5), pp. 4291–4310. Available at: https://doi.org/10.1109/TDSC.2022.3217259.</t>
  </si>
  <si>
    <t>FIDO Gets Verified: A Formal Analysis of the Universal Authentication Framework Protoco</t>
  </si>
  <si>
    <t>Lamport, L. (1981) ‘Password authentication with insecure communication’, Communications of the ACM, 24(11), pp. 770–772. Available at: https://doi.org/10.1145/358790.358797.</t>
  </si>
  <si>
    <t>Password authentication with insecure communication</t>
  </si>
  <si>
    <t>Morris, R. and Thompson, K. (1979) ‘Password security’, Communications of the ACM, 22(11), pp. 594–597. Available at: https://doi.org/10.1145/359168.359172.</t>
  </si>
  <si>
    <t>Password security</t>
  </si>
  <si>
    <t>Ouyang, L., Wu, J., Jiang, X., Almeida, D., Wainwright, C., Mishkin, P., Zhang, C., Agarwal, S., Slama, K., Ray, A., Schulman, J., Hilton, J., Kelton, F., Miller, L., Simens, M., Askell, A., Welinder, P., Christiano, P., Leike, J. and Lowe, R. (2022) ‘Training Language Models to Follow Instructions with Human Feedback’, Advances in Neural Information Processing Systems 35. San Diego, California, USA: Neural Information Processing Systems Foundation, Inc. (NeurIPS), pp. 27730–27744. Available at: https://doi.org/10.52202/068431-2011.</t>
  </si>
  <si>
    <t>Training Language Models to Follow Instructions with Human Feedback</t>
  </si>
  <si>
    <t>Wiefling, S., Lo Iacono, L. and Dürmuth, M. (2019) ‘Is This Really You? An Empirical Study on Risk-Based Authentication Applied in the Wild’, pp. 134–148. Available at: https://doi.org/10.1007/978-3-030-22312-0_10.</t>
  </si>
  <si>
    <t>Is This Really You? An Empirical Study on Risk-Based Authentication Applied in the Wild</t>
  </si>
  <si>
    <t>Supports the methodological architecture and classification of the study’s research design.</t>
  </si>
  <si>
    <t>Supports the distinction between research paradigms and approaches to theory development.</t>
  </si>
  <si>
    <t>Supports the critical realist epistemological and ontological position adopted in the study.</t>
  </si>
  <si>
    <t>Supports the use of abductive and retroductive reasoning within critical realist research.</t>
  </si>
  <si>
    <t>Supports the chronological placement of identity-verification developments in the conceptual expansion figure; not used as analytical evidence for the ENV model.</t>
  </si>
  <si>
    <t>Eligible analytical sources</t>
  </si>
  <si>
    <t>Entity Nature Verification — Documentary Evidence Matrix</t>
  </si>
  <si>
    <t>Priority &amp; Theme Legend — ENV Documentary Research</t>
  </si>
  <si>
    <t>Currant Associates Proceedings</t>
  </si>
  <si>
    <t>PNAS</t>
  </si>
  <si>
    <t xml:space="preserve">Wei, B., Zhang, Y., Pan, J., Mei, K., Wang, X., Hamm, J., Zhu, Z. and Ge, Y. (2026) 'CLAWSAFETY: ”Safe” LLMs, Unsafe Agents'. Available at: https://arxiv.org/pdf/2604.01438 </t>
  </si>
  <si>
    <t>Bhushan, B. (2025) ‘An Explainable Zero Trust Identity Framework for LLMs, AI Agents, and Agentic AI Systems’, International Journal of Computer Applications, 187(46), pp. 42–52 Available at: https://www.ijcaonline.org/archives/volume187/number46/bhushan-2025-ijca-925777.pdf (Accessed: 20 July 2026).</t>
  </si>
  <si>
    <t>Hayata, J. et al. (2024) ‘A Trust Service Model Adaptable to Various Assurance Levels by Linking Digital IDs and Certificates’, 2024 8th International Conference on Cryptography, Security and Privacy (CSP). https://doi.org/10.1109/CSP62567.2024.00014</t>
  </si>
  <si>
    <t>Analiza diferencias mediante LIWC y pruebas estadísticas</t>
  </si>
  <si>
    <t>exploratory case-based analysis</t>
  </si>
  <si>
    <t>Exploratory case-based analysis</t>
  </si>
  <si>
    <t xml:space="preserve">Our results reveal that transparency concerning the caliber of AI to detect truth
from deceptive text can seriously influence the proliferation of lies or misinformation
online. When individuals remain unaware of the quality of inferior AI advisors, they
tend to inadequately rely on the advisors, causing the truth-detection rates to drop, at
least weakly, below those based on their own ability. </t>
  </si>
  <si>
    <t>87% of scam labor consisting of systematized conversational tasks readily suscep-
tible to automation.; safety filters detect 0% of romance-baiting; full impersonation gap</t>
  </si>
  <si>
    <t>Holistic survey with keyword-based source selection</t>
  </si>
  <si>
    <t>RO3: This survey reviews guidance frameworks from NIST, OpenAI's Preparedness Framework, METR, and the EU AI Act specifically regarding operational autonomy. It discusses how these organizations evaluate and test "Model Autonomy" as a core metric for assessing catastrophic risk.
RO4: Discusses "deceptive alignment", LLMs strategically pretend to reason or align with user intents, leveraging their syntactic fluency to bypass human scrutiny and generate over-trust.
Main contribution: This survey provides a comprehensive taxonomy of LLM safety risks, specifically distinguishing between static model vulnerabilities and the unique risks posed by LLM-powered agents capable of autonomous planning and tool use. It identifies that autonomy introduces additional hazards, such as strategic deception and the ability to replicate, which are not present in standard text-generation models.
Strongest citable concept/mechanism/model: Strategic Deception. This mechanism describes an autonomous agent's capacity to intentionally mislead humans regarding its intentions, knowledge, or capabilities as a strategy to bypass human-imposed restrictions or secure advantages in competitive environments.
Limitation or questionable assumption: The authors note that existing safety evaluations (Q&amp;A benchmarks) are built on the potentially flawed assumption that LLMs are not being deceptive during the testing process itself, which may fail to detect the true inherent dangerous tendencies of highly capable models.
Dissertation-ready note (max 2 sentences, in my own words, with page/section reference if possible): Autonomous agents can employ strategic deception to mimic human-like cooperation while hiding misaligned goals, posing a severe threat to entity-nature verification during high-stakes interactions (Section 6.2.3, Page 56; Section 7.1, Page 59). To mitigate these risks, the source advocates for "agent identifiers"—metadata that clearly signals an entity's non-human nature—to ensure transparency and prevent unauthorized autonomous actions (Section 7.3, Page 61).</t>
  </si>
  <si>
    <t>Defence framework against LLM social engineering; malicious intention verification as first line of defence</t>
  </si>
  <si>
    <t>Personhood credentials as cryptographic proof of human identity</t>
  </si>
  <si>
    <t>Working Paper (survey)</t>
  </si>
  <si>
    <t>Heiding, F., Lermen, S., Kao, A., Schneier, B. and Vishwanath, A. (2025) ‘Evaluating Large Language Models’ Capability to Launch Fully Automated Spear Phishing Campaigns: Validated on Human Subjects’, arXiv preprint, arXiv:2412.00586. Available at: https://arxiv.org/abs/2412.00586 (Accessed: 20 July 2026).</t>
  </si>
  <si>
    <t>Conference proceedings</t>
  </si>
  <si>
    <t xml:space="preserve">Majority-voteaccuracyimproves from0.60 in Phase 1 to 0.90 in Phase 2, and reaches
10/10 on the limited Phase 3 subset (95% CI[0.692, 1.000]); </t>
  </si>
  <si>
    <t>Conceptual and Workshop Analysis</t>
  </si>
  <si>
    <t>RO2: highlights a major failure mode: human heuristics for detecting AI-generated language are fundamentally flawed. The study shows that AI more persuasive than human interlocutors.
Main contribution: First preregistered RCT showing that GPT-4, given only basic sociodemographic attributes, out-persuades human opponents in direct text debates, demonstrating that personalisation - previously the costly bottleneck of microtargeting - can be automated at negligible cost.
Strongest citable concept/mechanism/model: AI-driven personalised persuasion. The 64.4% win rate with personalisation vs. humans (Abstract; Results, pp. 1646-1648) quantifies the persuasive advantage an autonomous agent gains from minimal target data.
Limitation or questionable assumption: Structured, time-limited debates with incentivised Prolific participants aware of being in an experiment; the authors acknowledge (Limitations, pp. 1651-1652) that generalisation to natural social-media conversation and representative populations is untested, and results are bound to GPT-4 at a fixed point in time.
Dissertation-ready note: Participants could not identify human opponents better than chance (52.0%), yet detected GPT-4 in roughly three of four debates, and perceived identity did not account for the persuasion effect ('Perceived opponent', pp. 1648-1649) - so stylistic detectability today offers no protection against persuasive impact. For ENV, this suggests the risk persists even when users suspect they face an AI, shifting the problem from detection to verified disclosure.</t>
  </si>
  <si>
    <t>Architectural and security analysis with illustrative proof-of-concept cases</t>
  </si>
  <si>
    <t>MCP discovery and tool-selection paths can be exploited through namespace collisions, typosquatting and persuasive metadata where textual identifiers are not bound to verified server identities.</t>
  </si>
  <si>
    <t>Coverage analysis of 49 attacks against 13 defence mechanisms; none of the analysed mechanisms covers Resource Type Confusion / Impersonation.</t>
  </si>
  <si>
    <t>Proposes a zero-trust registry that separates agent and tool identities and uses policy controls, dynamic trust scoring and scoped just-in-time credentials to address tool squatting.</t>
  </si>
  <si>
    <t>Comparative threat modelling identifies identity-binding and authority risks across four protocols. A controlled MCP case demonstrates wrong-provider selection under specified ordering and metadata conditions.</t>
  </si>
  <si>
    <t>RO4: Highlights the lack of identity binding validation in multi-agent protocols. It empirically demonstrates how a lack of resolution in ambiguity between tools and providers leads to "tool identity ambiguity attacks," causing clients to invoke wrong-provider or poisoned tools, culminating in systemic integrity loss.
Violation rate was 1.00 under attacker-first ordering and persuasive trust-cue metadata, and 0.52 when metadata was cloned.</t>
  </si>
  <si>
    <t>Users’ perceptions of chatbot agency were co-constructed through initiative, memory, adaptation, user goals and interaction history. Disclosure of programmed strategies reframed but did not eliminate agency attribution.</t>
  </si>
  <si>
    <t>RO4:  Explores how anthropomorphic features (like conversational mimicry) create a false sense of trust, and how transparency regarding a chatbot's hidden "agenda" fundamentally alters user attribution of agency.
Main contribution: The source establishes that agency in human-AI interaction is not a fixed attribute but a co-constructed, relational "dance" and introduces a 3x4 framework to map how humans and AI negotiate control through intention, execution, adaptation, and delimitation [Sections 1, 6, 8].</t>
  </si>
  <si>
    <t>Conceptual development / theoretical information-processing model</t>
  </si>
  <si>
    <t>The model distinguishes objective system characteristics from users’ subjective perceptions and treats trust as an iterative process shaped by performance, process, purpose, user characteristics and context.</t>
  </si>
  <si>
    <t>Conceptual/Theoretical Analysis</t>
  </si>
  <si>
    <t>Conceptual analysis suggests that perceived neutrality, consistency and simulated emotional engagement may encourage disclosure while creating privacy and psychological vulnerability.</t>
  </si>
  <si>
    <t>Adversarial framing of AI explanations can sustain trust in incorrect outputs, particularly when users find independent verification difficult.</t>
  </si>
  <si>
    <t>RO4: Formalizes Adversarial Explanation Attacks (AEAs) as a cognitive-layer threat where attackers manipulate the framing of LLM explanations to modulate human trust. It introduces the "trust miscalibration gap" to measure how humans continue to trust incorrect AI outputs when the explanation is persuasive, authoritative, or mimics expert communication. This proves that the human-AI interface itself is an exploitable attack surface.</t>
  </si>
  <si>
    <t>Trust increased the decisional weight assigned to AI through willingness to collaborate; perceived AI free will moderated part of this relationship.</t>
  </si>
  <si>
    <t>RO4: entity-nature awareness moderates over-reliance por perceived AI free will conditions willingness to collaborate and AI decisional weight in scenario-based management decisions.</t>
  </si>
  <si>
    <t>Synthesises trustor, trustee and contextual determinants of trust in AI; anthropomorphic cues may mask system limitations and create misconceptions about agency, moral judgement or competence.</t>
  </si>
  <si>
    <t>RO4: Argues that attributing human traits to AI masks inherent limitations, creating unrealistic expectations of competence and generating a "trust asymmetry" driven by a perceived sense of power or dominance.</t>
  </si>
  <si>
    <t>Users carried subjective beliefs about AI accuracy across unrelated tasks, updated those beliefs conservatively and delegated more when they believed the AI was accurate.</t>
  </si>
  <si>
    <t>Foundational chapter: humans as security weakest link; phishing exploits psychology; trust mechanisms evolved for face-to-face interaction fail online; cognitive biases enable social engineering; groundwork for understanding why AI impersonation is effective. Online communication removes physical and human context, making deception and forgery easier. Users rely on exploitable heuristics and familiar trust cues, making usable security controls necessary.</t>
  </si>
  <si>
    <t>RO4:  Discusses the cognitive origins of verification failure, noting that users rely on heuristics (like seeing "https" or a recognizable brand name) rather than accurately verifying the true nature of a URL or entity.
Foundational human-factors evidence; the chapter predates the AI-agent context and does not empirically evaluate AI impersonation.</t>
  </si>
  <si>
    <t>Chan, A., Wei, K., Huang, S., Rajkumar, N., Perrier, E., Lazar, S., Hadfield, G.K. and Anderljung, M. (2025) 'Infrastructure for AI Agents', Transactions on Machine Learning Research. Available at: https://openreview.net/pdf?id=Ckh17xN2R2</t>
  </si>
  <si>
    <t>Progent: Securing AI Agents with Privilege Control</t>
  </si>
  <si>
    <t xml:space="preserve">Scoping review; transparency and identity disclosure are top trustworthiness dimensions in org AI. We also study the trustworthiness dimensions defined by the ISO trustworthiness standard (ISO 2022) to
ensure that our analysis is based on internationally recognized standards. ‘Transparency’ is the most frequently
mentioned ISO dimension, appearing in 21 out of 43 papers, followed by ‘accountability’ and ‘explainability’ in
12 papers. </t>
  </si>
  <si>
    <t>LLMs enable industrialised scam pipelines; human-agent distinction collapses. 145 insiders, 34 participants.</t>
  </si>
  <si>
    <t xml:space="preserve">Multi-agent VLM+LLM detects phishing with &gt;95% accuracy; brand impersonation central threat. Reasoning-capable VLMs achieved 82–85% accuracy with approximately 15% fewer false positives than standard VLMs (58–63%), highlighting their superior analytical capacity for visual phishing cues such as domain typosquatting and contextual inconsistencies. </t>
  </si>
  <si>
    <t>Framework proposal / conceptual architecture</t>
  </si>
  <si>
    <t>Later-stage and higher-level autonomy reduced workload during routine operation but increased mental workload after agent failure. Failure performance did not significantly decline relative to continuous manual operation; participants maintained it through top-down compensatory attention at increased workload cost. The findings support autonomy as a graded, task-stage-specific property, although the study does not examine text-based organisational communication or validate the ENV model.</t>
  </si>
  <si>
    <t>Garzon, S. R., Vaziry, A., Kuzu, E. M., Gehrmann, D. E., Varkan, B., Gaballa, A. and Küpper, A. (2026). AI Agents with Decentralized Identifiers and Verifiable Credentials. In Proceedings of the 18th International Conference on Agents and Artificial Intelligence - Volume 1: ICAART; ISBN 978-989-758-796-2; ISSN 2184-433X, SciTePress, pages 252-259. DOI: 10.5220/0014234400004052</t>
  </si>
  <si>
    <t>Vaishnav, L., Singh, S. and Cornell, K. A. (2024) ‘Transparency, Security, and Workplace Training &amp; Awareness in the Age of Generative AI’, arXiv preprint, arXiv:2501.10389. Available at: https://arxiv.org/abs/2501.10389 (Accessed: 20 July 2026).</t>
  </si>
  <si>
    <t>Huang, K., Narajala, V. S., Yeoh, J., Ross, J., Raskar, R., Harkati, Y., Huang, J., Habler, I. and Hughes, C. (2026) A Novel Zero-Trust Identity Framework for Agentic AI: Decentralized Authentication and Fine-Grained Access Control. arXiv preprint, arXiv:2505.19301.  doi={10.1109/AIxDKE67294.2026.00024}}</t>
  </si>
  <si>
    <t>Lazer, S. J., Aryal, K., Gupta, M. and Bertino, E. (2026) ‘A Survey of Agentic AI and Cybersecurity: Challenges, Opportunities and Use-case Prototypes’, arXiv preprint, arXiv:2601.05293. Available at: https://arxiv.org/abs/2601.05293 (Accessed: 20 July 2026).</t>
  </si>
  <si>
    <t>Liu, Y. et al. (2025) ‘Secure Multi-LLM Agentic AI and Agentification for Edge General Intelligence by Zero-Trust: A Survey’, arXiv preprint, arXiv:2508.19870. Available at: https://arxiv.org/abs/2508.19870 (Accessed: 20 July 2026).</t>
  </si>
  <si>
    <t>Liu, Y., Zhao, Y., Lyu, Y., Zhang, T., Wang, H. and Lo, D. (2025b) ‘“Your AI, My Shell”: Demystifying Prompt Injection Attacks on Agentic AI Coding Editors’, arXiv preprint, arXiv:2509.22040. Available at: https://arxiv.org/abs/2509.22040 (Accessed: 20 July 2026).</t>
  </si>
  <si>
    <t xml:space="preserve">Temoshok, D., Proud-Madruga, D., Choong, Y.-Y., Galluzzo, R., Gupta, S., LaSalle, C., Lefkovitz, N. and Regenscheid, A. (2025) NIST SP 800-63-4: Digital Identity Guidelines. Available at: https://doi.org/10.6028/NIST.SP.800-63-4.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</si>
</sst>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3"/>
      <color rgb="FF1F3864"/>
      <name val="Arial"/>
      <family val="2"/>
    </font>
    <font>
      <b/>
      <sz val="9"/>
      <color rgb="FFFFFFFF"/>
      <name val="Arial"/>
      <family val="2"/>
    </font>
    <font>
      <sz val="9"/>
      <name val="Arial"/>
      <family val="2"/>
    </font>
    <font>
      <b/>
      <sz val="9"/>
      <color rgb="FF000000"/>
      <name val="Arial"/>
      <family val="2"/>
    </font>
    <font>
      <b/>
      <sz val="9"/>
      <name val="Arial"/>
      <family val="2"/>
    </font>
    <font>
      <b/>
      <sz val="11"/>
      <color theme="1"/>
      <name val="Calibri"/>
      <family val="2"/>
      <scheme val="minor"/>
    </font>
    <font>
      <sz val="9"/>
      <color rgb="FFC00000"/>
      <name val="Arial"/>
      <family val="2"/>
    </font>
    <font>
      <sz val="10"/>
      <color theme="1"/>
      <name val="Arial Unicode MS"/>
      <family val="2"/>
    </font>
    <font>
      <sz val="10"/>
      <name val="Arial"/>
      <family val="2"/>
    </font>
    <font>
      <sz val="9"/>
      <color theme="1"/>
      <name val="Arial"/>
      <family val="2"/>
    </font>
    <font>
      <sz val="11"/>
      <color rgb="FF000000"/>
      <name val="Calibri"/>
      <family val="2"/>
      <scheme val="minor"/>
    </font>
    <font>
      <sz val="8"/>
      <name val="Calibri"/>
      <family val="2"/>
      <scheme val="minor"/>
    </font>
    <font>
      <sz val="9"/>
      <name val="Calibri"/>
      <family val="2"/>
      <scheme val="minor"/>
    </font>
    <font>
      <sz val="9"/>
      <color theme="1"/>
      <name val="Calibri"/>
      <family val="2"/>
      <scheme val="minor"/>
    </font>
    <font>
      <sz val="11"/>
      <color rgb="FFC00000"/>
      <name val="Calibri (Body)"/>
    </font>
    <font>
      <b/>
      <sz val="13"/>
      <color theme="3"/>
      <name val="Arial"/>
      <family val="2"/>
    </font>
    <font>
      <sz val="11"/>
      <color theme="3"/>
      <name val="Calibri"/>
      <family val="2"/>
      <scheme val="minor"/>
    </font>
    <font>
      <sz val="9"/>
      <color theme="3"/>
      <name val="Arial"/>
      <family val="2"/>
    </font>
    <font>
      <b/>
      <sz val="10"/>
      <name val="Arial"/>
      <family val="2"/>
    </font>
    <font>
      <sz val="9"/>
      <color rgb="FF000000"/>
      <name val="Arial"/>
      <family val="2"/>
    </font>
    <font>
      <sz val="11"/>
      <name val="Calibri"/>
      <family val="2"/>
      <scheme val="minor"/>
    </font>
  </fonts>
  <fills count="19">
    <fill>
      <patternFill patternType="none"/>
    </fill>
    <fill>
      <patternFill patternType="gray125"/>
    </fill>
    <fill>
      <patternFill patternType="solid">
        <fgColor rgb="FF1F3864"/>
      </patternFill>
    </fill>
    <fill>
      <patternFill patternType="solid">
        <fgColor rgb="FFF4F4F4"/>
      </patternFill>
    </fill>
    <fill>
      <patternFill patternType="solid">
        <fgColor rgb="FFC00000"/>
      </patternFill>
    </fill>
    <fill>
      <patternFill patternType="solid">
        <fgColor rgb="FFFFF2CC"/>
      </patternFill>
    </fill>
    <fill>
      <patternFill patternType="solid">
        <fgColor rgb="FFFCE4D6"/>
      </patternFill>
    </fill>
    <fill>
      <patternFill patternType="solid">
        <fgColor rgb="FFE2EFDA"/>
      </patternFill>
    </fill>
    <fill>
      <patternFill patternType="solid">
        <fgColor rgb="FFFFC000"/>
      </patternFill>
    </fill>
    <fill>
      <patternFill patternType="solid">
        <fgColor rgb="FFFFFF00"/>
      </patternFill>
    </fill>
    <fill>
      <patternFill patternType="solid">
        <fgColor rgb="FFDDEEFF"/>
      </patternFill>
    </fill>
    <fill>
      <patternFill patternType="solid">
        <fgColor rgb="FFEAD1DC"/>
      </patternFill>
    </fill>
    <fill>
      <patternFill patternType="solid">
        <fgColor rgb="FF92D050"/>
      </patternFill>
    </fill>
    <fill>
      <patternFill patternType="solid">
        <fgColor theme="0" tint="-0.249977111117893"/>
        <bgColor indexed="64"/>
      </patternFill>
    </fill>
    <fill>
      <patternFill patternType="solid">
        <fgColor rgb="FFFF0000"/>
        <bgColor indexed="64"/>
      </patternFill>
    </fill>
    <fill>
      <patternFill patternType="solid">
        <fgColor rgb="FFFF0000"/>
        <bgColor rgb="FF000000"/>
      </patternFill>
    </fill>
    <fill>
      <patternFill patternType="solid">
        <fgColor rgb="FFFFF2CC"/>
      </patternFill>
    </fill>
    <fill>
      <patternFill patternType="solid">
        <fgColor rgb="FF1F3864"/>
      </patternFill>
    </fill>
    <fill>
      <patternFill patternType="solid">
        <fgColor rgb="FFFFF2CC"/>
        <bgColor rgb="FF000000"/>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1">
    <xf numFmtId="0" fontId="0" fillId="0" borderId="0"/>
  </cellStyleXfs>
  <cellXfs count="71">
    <xf numFmtId="0" fontId="0" fillId="0" borderId="0" xfId="0"/>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2" fillId="2" borderId="1" xfId="0" applyFont="1" applyFill="1" applyBorder="1"/>
    <xf numFmtId="0" fontId="0" fillId="0" borderId="1" xfId="0" applyBorder="1" applyAlignment="1">
      <alignment vertical="top" wrapText="1"/>
    </xf>
    <xf numFmtId="0" fontId="4" fillId="12"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0" fillId="0" borderId="0" xfId="0" applyAlignment="1">
      <alignment wrapText="1"/>
    </xf>
    <xf numFmtId="0" fontId="8" fillId="0" borderId="0" xfId="0" applyFont="1"/>
    <xf numFmtId="0" fontId="9" fillId="0" borderId="0" xfId="0" applyFont="1"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wrapText="1"/>
    </xf>
    <xf numFmtId="0" fontId="3" fillId="3" borderId="4" xfId="0" applyFont="1" applyFill="1" applyBorder="1" applyAlignment="1">
      <alignment vertical="top" wrapText="1"/>
    </xf>
    <xf numFmtId="0" fontId="0" fillId="0" borderId="4" xfId="0" applyBorder="1" applyAlignment="1">
      <alignment wrapText="1"/>
    </xf>
    <xf numFmtId="0" fontId="3" fillId="13" borderId="1" xfId="0" applyFont="1" applyFill="1" applyBorder="1" applyAlignment="1">
      <alignment vertical="top" wrapText="1"/>
    </xf>
    <xf numFmtId="0" fontId="0" fillId="13" borderId="0" xfId="0" applyFill="1"/>
    <xf numFmtId="0" fontId="0" fillId="14" borderId="0" xfId="0" applyFill="1" applyAlignment="1">
      <alignment horizontal="center" vertical="center"/>
    </xf>
    <xf numFmtId="0" fontId="3" fillId="16" borderId="1" xfId="0" applyFont="1" applyFill="1" applyBorder="1" applyAlignment="1">
      <alignment vertical="top" wrapText="1"/>
    </xf>
    <xf numFmtId="0" fontId="0" fillId="0" borderId="0" xfId="0" applyAlignment="1">
      <alignment horizontal="center"/>
    </xf>
    <xf numFmtId="0" fontId="3" fillId="1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1" fillId="15" borderId="0" xfId="0" applyFont="1" applyFill="1" applyAlignment="1">
      <alignment horizontal="center" vertical="center"/>
    </xf>
    <xf numFmtId="0" fontId="3" fillId="18" borderId="1" xfId="0" applyFont="1" applyFill="1" applyBorder="1" applyAlignment="1">
      <alignment horizontal="center" vertical="center" wrapText="1"/>
    </xf>
    <xf numFmtId="0" fontId="14" fillId="14" borderId="0" xfId="0" applyFont="1" applyFill="1" applyAlignment="1">
      <alignment horizontal="center" vertical="center"/>
    </xf>
    <xf numFmtId="0" fontId="13" fillId="14" borderId="1" xfId="0" applyFont="1" applyFill="1" applyBorder="1" applyAlignment="1">
      <alignment horizontal="center" vertical="center" wrapText="1"/>
    </xf>
    <xf numFmtId="0" fontId="10" fillId="14" borderId="0" xfId="0" applyFont="1" applyFill="1" applyAlignment="1">
      <alignment horizontal="center" vertical="center"/>
    </xf>
    <xf numFmtId="0" fontId="10" fillId="0" borderId="0" xfId="0" applyFont="1" applyAlignment="1">
      <alignment horizontal="center" vertical="center"/>
    </xf>
    <xf numFmtId="0" fontId="0" fillId="13" borderId="0" xfId="0" applyFill="1" applyAlignment="1">
      <alignment wrapText="1"/>
    </xf>
    <xf numFmtId="0" fontId="11" fillId="0" borderId="0" xfId="0" applyFont="1" applyAlignment="1">
      <alignment wrapText="1"/>
    </xf>
    <xf numFmtId="0" fontId="8" fillId="0" borderId="0" xfId="0" applyFont="1" applyAlignment="1">
      <alignment wrapText="1"/>
    </xf>
    <xf numFmtId="0" fontId="16" fillId="0" borderId="0" xfId="0" applyFont="1" applyAlignment="1">
      <alignment vertical="center"/>
    </xf>
    <xf numFmtId="0" fontId="17" fillId="0" borderId="0" xfId="0" applyFont="1"/>
    <xf numFmtId="0" fontId="18" fillId="0" borderId="0" xfId="0" applyFont="1"/>
    <xf numFmtId="0" fontId="20" fillId="8" borderId="1" xfId="0" applyFont="1" applyFill="1" applyBorder="1" applyAlignment="1">
      <alignment vertical="top" wrapText="1"/>
    </xf>
    <xf numFmtId="0" fontId="2" fillId="17" borderId="1" xfId="0" applyFont="1" applyFill="1" applyBorder="1" applyAlignment="1">
      <alignment horizontal="center" vertical="center" wrapText="1"/>
    </xf>
    <xf numFmtId="0" fontId="2" fillId="17" borderId="1" xfId="0" applyFont="1" applyFill="1" applyBorder="1" applyAlignment="1">
      <alignment horizontal="center" vertical="top" wrapText="1"/>
    </xf>
    <xf numFmtId="0" fontId="2" fillId="17" borderId="4" xfId="0" applyFont="1" applyFill="1" applyBorder="1" applyAlignment="1">
      <alignment horizontal="center" vertical="center" wrapText="1"/>
    </xf>
    <xf numFmtId="0" fontId="3" fillId="3" borderId="0" xfId="0" applyFont="1" applyFill="1" applyAlignment="1">
      <alignment vertical="top" wrapText="1"/>
    </xf>
    <xf numFmtId="0" fontId="17" fillId="0" borderId="0" xfId="0" applyFont="1" applyAlignment="1">
      <alignment horizontal="center"/>
    </xf>
    <xf numFmtId="0" fontId="3" fillId="0" borderId="1" xfId="0" applyFont="1" applyBorder="1" applyAlignment="1">
      <alignment vertical="top" wrapText="1"/>
    </xf>
    <xf numFmtId="0" fontId="10" fillId="0" borderId="1" xfId="0" applyFont="1" applyBorder="1" applyAlignment="1">
      <alignment vertical="top" wrapText="1"/>
    </xf>
    <xf numFmtId="0" fontId="7" fillId="0" borderId="1" xfId="0" applyFont="1" applyBorder="1" applyAlignment="1">
      <alignment vertical="top" wrapText="1"/>
    </xf>
    <xf numFmtId="0" fontId="19" fillId="0" borderId="0" xfId="0" applyFont="1" applyAlignment="1">
      <alignment vertical="top" wrapText="1"/>
    </xf>
    <xf numFmtId="0" fontId="3" fillId="0" borderId="1" xfId="0" applyFont="1" applyBorder="1" applyAlignment="1">
      <alignment horizontal="center" vertical="top" wrapText="1"/>
    </xf>
    <xf numFmtId="0" fontId="3" fillId="0" borderId="0" xfId="0" applyFont="1" applyAlignment="1">
      <alignment vertical="top" wrapText="1"/>
    </xf>
    <xf numFmtId="0" fontId="9" fillId="0" borderId="1" xfId="0" applyFont="1" applyBorder="1" applyAlignment="1">
      <alignment vertical="top" wrapText="1"/>
    </xf>
    <xf numFmtId="0" fontId="3" fillId="0" borderId="0" xfId="0" applyFont="1" applyAlignment="1">
      <alignment horizontal="center" vertical="top" wrapText="1"/>
    </xf>
    <xf numFmtId="0" fontId="9" fillId="0" borderId="0" xfId="0" applyFont="1" applyAlignment="1">
      <alignment horizontal="center" vertical="top" wrapText="1"/>
    </xf>
    <xf numFmtId="0" fontId="21" fillId="0" borderId="0" xfId="0" applyFont="1" applyAlignment="1">
      <alignment wrapText="1"/>
    </xf>
    <xf numFmtId="0" fontId="21" fillId="0" borderId="0" xfId="0" applyFont="1" applyAlignment="1">
      <alignment vertical="top" wrapText="1"/>
    </xf>
    <xf numFmtId="0" fontId="21" fillId="0" borderId="0" xfId="0" applyFont="1" applyAlignment="1">
      <alignment horizontal="center"/>
    </xf>
    <xf numFmtId="0" fontId="21" fillId="0" borderId="0" xfId="0" applyFont="1"/>
    <xf numFmtId="0" fontId="3" fillId="0" borderId="4" xfId="0" applyFont="1" applyBorder="1" applyAlignment="1">
      <alignment vertical="top" wrapText="1"/>
    </xf>
    <xf numFmtId="0" fontId="15" fillId="0" borderId="0" xfId="0" applyFont="1" applyAlignment="1">
      <alignment wrapText="1"/>
    </xf>
    <xf numFmtId="0" fontId="3" fillId="0" borderId="5" xfId="0" applyFont="1" applyBorder="1" applyAlignment="1">
      <alignment vertical="top" wrapText="1"/>
    </xf>
    <xf numFmtId="0" fontId="17" fillId="0" borderId="0" xfId="0" applyFont="1" applyAlignment="1">
      <alignment wrapText="1"/>
    </xf>
    <xf numFmtId="0" fontId="1" fillId="0" borderId="0" xfId="0" applyFont="1" applyAlignment="1">
      <alignment horizontal="center"/>
    </xf>
    <xf numFmtId="0" fontId="0" fillId="0" borderId="0" xfId="0"/>
    <xf numFmtId="0" fontId="2" fillId="2" borderId="0" xfId="0" applyFont="1" applyFill="1" applyAlignment="1">
      <alignment horizontal="center"/>
    </xf>
    <xf numFmtId="0" fontId="0" fillId="0" borderId="1" xfId="0"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48"/>
  <sheetViews>
    <sheetView tabSelected="1" workbookViewId="0">
      <pane xSplit="4" ySplit="1" topLeftCell="Z111" activePane="bottomRight" state="frozen"/>
      <selection pane="topRight" activeCell="G1" sqref="G1"/>
      <selection pane="bottomLeft" activeCell="A2" sqref="A2"/>
      <selection pane="bottomRight" activeCell="AA121" sqref="AA121"/>
    </sheetView>
  </sheetViews>
  <sheetFormatPr baseColWidth="10" defaultColWidth="8.83203125" defaultRowHeight="15" x14ac:dyDescent="0.2"/>
  <cols>
    <col min="1" max="1" width="14" customWidth="1"/>
    <col min="2" max="2" width="12" customWidth="1"/>
    <col min="3" max="3" width="28.1640625" customWidth="1"/>
    <col min="4" max="4" width="36.6640625" customWidth="1"/>
    <col min="5" max="5" width="6" style="27" customWidth="1"/>
    <col min="6" max="6" width="16" hidden="1" customWidth="1"/>
    <col min="7" max="7" width="22" customWidth="1"/>
    <col min="8" max="8" width="18" customWidth="1"/>
    <col min="9" max="10" width="10.33203125" customWidth="1"/>
    <col min="11" max="11" width="8.5" customWidth="1"/>
    <col min="12" max="12" width="9" customWidth="1"/>
    <col min="13" max="13" width="8" customWidth="1"/>
    <col min="14" max="14" width="20" style="15" customWidth="1"/>
    <col min="15" max="15" width="18" style="15" customWidth="1"/>
    <col min="16" max="16" width="20" style="15" customWidth="1"/>
    <col min="17" max="17" width="18" style="15" customWidth="1"/>
    <col min="18" max="18" width="28" style="15" customWidth="1"/>
    <col min="19" max="19" width="18" customWidth="1"/>
    <col min="20" max="20" width="88" customWidth="1"/>
    <col min="21" max="21" width="18" style="35" customWidth="1"/>
    <col min="22" max="22" width="66.33203125" customWidth="1"/>
    <col min="23" max="23" width="13.5" customWidth="1"/>
    <col min="24" max="24" width="12.1640625" style="15" customWidth="1"/>
    <col min="25" max="25" width="12.33203125" style="15" customWidth="1"/>
    <col min="26" max="26" width="30.83203125" style="15" customWidth="1"/>
    <col min="27" max="27" width="11.83203125" customWidth="1"/>
    <col min="28" max="28" width="12" customWidth="1"/>
  </cols>
  <sheetData>
    <row r="1" spans="1:28" ht="28" customHeight="1" x14ac:dyDescent="0.2">
      <c r="A1" s="39" t="s">
        <v>1456</v>
      </c>
      <c r="B1" s="40"/>
      <c r="C1" s="40"/>
      <c r="D1" s="40"/>
      <c r="E1" s="47"/>
      <c r="F1" s="40"/>
      <c r="G1" s="40"/>
      <c r="H1" s="40"/>
      <c r="I1" s="40"/>
      <c r="J1" s="40"/>
      <c r="K1" s="40"/>
      <c r="L1" s="40"/>
      <c r="M1" s="40"/>
      <c r="N1" s="64"/>
      <c r="O1" s="64"/>
      <c r="P1" s="64"/>
      <c r="Q1" s="64"/>
      <c r="R1" s="64"/>
      <c r="S1" s="40"/>
      <c r="T1" s="40"/>
      <c r="U1" s="41"/>
    </row>
    <row r="2" spans="1:28" s="18" customFormat="1" ht="90" customHeight="1" x14ac:dyDescent="0.2">
      <c r="A2" s="43" t="s">
        <v>0</v>
      </c>
      <c r="B2" s="43" t="s">
        <v>1</v>
      </c>
      <c r="C2" s="43" t="s">
        <v>2</v>
      </c>
      <c r="D2" s="43" t="s">
        <v>3</v>
      </c>
      <c r="E2" s="43" t="s">
        <v>4</v>
      </c>
      <c r="F2" s="43" t="s">
        <v>5</v>
      </c>
      <c r="G2" s="43" t="s">
        <v>6</v>
      </c>
      <c r="H2" s="43" t="s">
        <v>7</v>
      </c>
      <c r="I2" s="44" t="s">
        <v>8</v>
      </c>
      <c r="J2" s="44" t="s">
        <v>9</v>
      </c>
      <c r="K2" s="44" t="s">
        <v>10</v>
      </c>
      <c r="L2" s="44" t="s">
        <v>11</v>
      </c>
      <c r="M2" s="44" t="s">
        <v>12</v>
      </c>
      <c r="N2" s="43" t="s">
        <v>13</v>
      </c>
      <c r="O2" s="43" t="s">
        <v>14</v>
      </c>
      <c r="P2" s="43" t="s">
        <v>15</v>
      </c>
      <c r="Q2" s="43" t="s">
        <v>16</v>
      </c>
      <c r="R2" s="43" t="s">
        <v>17</v>
      </c>
      <c r="S2" s="43" t="s">
        <v>18</v>
      </c>
      <c r="T2" s="43" t="s">
        <v>19</v>
      </c>
      <c r="U2" s="43" t="s">
        <v>20</v>
      </c>
      <c r="V2" s="45" t="s">
        <v>21</v>
      </c>
      <c r="W2" s="43" t="s">
        <v>1222</v>
      </c>
      <c r="X2" s="43" t="s">
        <v>1223</v>
      </c>
      <c r="Y2" s="43" t="s">
        <v>1224</v>
      </c>
      <c r="Z2" s="43" t="s">
        <v>1225</v>
      </c>
      <c r="AA2" s="43" t="s">
        <v>1423</v>
      </c>
      <c r="AB2" s="43" t="s">
        <v>1424</v>
      </c>
    </row>
    <row r="3" spans="1:28" ht="72" customHeight="1" x14ac:dyDescent="0.25">
      <c r="A3" s="48" t="s">
        <v>22</v>
      </c>
      <c r="B3" s="2" t="s">
        <v>23</v>
      </c>
      <c r="C3" s="48" t="s">
        <v>24</v>
      </c>
      <c r="D3" s="48" t="s">
        <v>25</v>
      </c>
      <c r="E3" s="52">
        <v>2026</v>
      </c>
      <c r="F3" s="1" t="s">
        <v>26</v>
      </c>
      <c r="G3" s="48" t="s">
        <v>27</v>
      </c>
      <c r="H3" s="48" t="str">
        <f t="shared" ref="H3:H34" si="0">I3&amp;" "&amp;J3&amp;" "&amp;K3&amp;" "&amp;L3&amp;" "&amp;M3</f>
        <v>RO1 RO2  RO4 RO5</v>
      </c>
      <c r="I3" s="52" t="s">
        <v>28</v>
      </c>
      <c r="J3" s="48" t="s">
        <v>29</v>
      </c>
      <c r="K3" s="48"/>
      <c r="L3" s="48" t="s">
        <v>30</v>
      </c>
      <c r="M3" s="48" t="s">
        <v>31</v>
      </c>
      <c r="N3" s="48" t="s">
        <v>32</v>
      </c>
      <c r="O3" s="48" t="s">
        <v>33</v>
      </c>
      <c r="P3" s="48" t="s">
        <v>34</v>
      </c>
      <c r="Q3" s="48" t="s">
        <v>35</v>
      </c>
      <c r="R3" s="48" t="s">
        <v>36</v>
      </c>
      <c r="S3" s="48" t="s">
        <v>37</v>
      </c>
      <c r="T3" s="48" t="s">
        <v>38</v>
      </c>
      <c r="U3" s="25" t="s">
        <v>39</v>
      </c>
      <c r="V3" s="15" t="s">
        <v>40</v>
      </c>
      <c r="W3" s="38" t="s">
        <v>1422</v>
      </c>
      <c r="X3" s="15" t="s">
        <v>1229</v>
      </c>
      <c r="Y3" t="s">
        <v>1147</v>
      </c>
      <c r="Z3" s="15" t="s">
        <v>1311</v>
      </c>
      <c r="AA3" s="15" t="s">
        <v>1427</v>
      </c>
      <c r="AB3" s="15" t="s">
        <v>1429</v>
      </c>
    </row>
    <row r="4" spans="1:28" ht="45" customHeight="1" x14ac:dyDescent="0.25">
      <c r="A4" s="13" t="s">
        <v>41</v>
      </c>
      <c r="B4" s="42" t="s">
        <v>42</v>
      </c>
      <c r="C4" s="48" t="s">
        <v>43</v>
      </c>
      <c r="D4" s="48" t="s">
        <v>44</v>
      </c>
      <c r="E4" s="52" t="s">
        <v>45</v>
      </c>
      <c r="F4" s="3" t="s">
        <v>46</v>
      </c>
      <c r="G4" s="48" t="s">
        <v>47</v>
      </c>
      <c r="H4" s="48" t="str">
        <f t="shared" si="0"/>
        <v xml:space="preserve">  RO3  RO5</v>
      </c>
      <c r="I4" s="48"/>
      <c r="J4" s="48"/>
      <c r="K4" s="48" t="s">
        <v>48</v>
      </c>
      <c r="L4" s="48"/>
      <c r="M4" s="48" t="s">
        <v>31</v>
      </c>
      <c r="N4" s="48" t="s">
        <v>49</v>
      </c>
      <c r="O4" s="48" t="s">
        <v>50</v>
      </c>
      <c r="P4" s="48" t="s">
        <v>51</v>
      </c>
      <c r="Q4" s="48" t="s">
        <v>52</v>
      </c>
      <c r="R4" s="48" t="s">
        <v>53</v>
      </c>
      <c r="S4" s="48" t="s">
        <v>54</v>
      </c>
      <c r="T4" s="48" t="s">
        <v>55</v>
      </c>
      <c r="U4" s="28" t="s">
        <v>1194</v>
      </c>
      <c r="V4" s="15" t="s">
        <v>56</v>
      </c>
      <c r="W4" s="38" t="s">
        <v>1422</v>
      </c>
      <c r="X4" s="15" t="s">
        <v>1230</v>
      </c>
      <c r="Y4" s="15" t="s">
        <v>1173</v>
      </c>
      <c r="Z4" s="20" t="s">
        <v>1244</v>
      </c>
      <c r="AA4" s="15" t="s">
        <v>1427</v>
      </c>
      <c r="AB4" s="15" t="s">
        <v>1429</v>
      </c>
    </row>
    <row r="5" spans="1:28" ht="45" customHeight="1" x14ac:dyDescent="0.25">
      <c r="A5" s="13" t="s">
        <v>57</v>
      </c>
      <c r="B5" s="42" t="s">
        <v>42</v>
      </c>
      <c r="C5" s="48" t="s">
        <v>58</v>
      </c>
      <c r="D5" s="48" t="s">
        <v>59</v>
      </c>
      <c r="E5" s="52" t="s">
        <v>60</v>
      </c>
      <c r="F5" s="3" t="s">
        <v>26</v>
      </c>
      <c r="G5" s="48" t="s">
        <v>61</v>
      </c>
      <c r="H5" s="48" t="str">
        <f t="shared" si="0"/>
        <v xml:space="preserve">   RO4 RO5</v>
      </c>
      <c r="I5" s="48"/>
      <c r="J5" s="48"/>
      <c r="K5" s="48"/>
      <c r="L5" s="48" t="s">
        <v>30</v>
      </c>
      <c r="M5" s="48" t="s">
        <v>31</v>
      </c>
      <c r="N5" s="48" t="s">
        <v>62</v>
      </c>
      <c r="O5" s="48" t="s">
        <v>63</v>
      </c>
      <c r="P5" s="48" t="s">
        <v>64</v>
      </c>
      <c r="Q5" s="48" t="s">
        <v>65</v>
      </c>
      <c r="R5" s="48" t="s">
        <v>66</v>
      </c>
      <c r="S5" s="48" t="s">
        <v>67</v>
      </c>
      <c r="T5" s="48" t="s">
        <v>68</v>
      </c>
      <c r="U5" s="25" t="s">
        <v>69</v>
      </c>
      <c r="V5" s="15" t="s">
        <v>70</v>
      </c>
      <c r="W5" s="38" t="s">
        <v>1422</v>
      </c>
      <c r="X5" s="15" t="s">
        <v>1229</v>
      </c>
      <c r="Y5" t="s">
        <v>1147</v>
      </c>
      <c r="Z5" s="20" t="s">
        <v>1245</v>
      </c>
      <c r="AA5" s="38" t="s">
        <v>1425</v>
      </c>
      <c r="AB5" s="38" t="s">
        <v>1428</v>
      </c>
    </row>
    <row r="6" spans="1:28" ht="45" customHeight="1" x14ac:dyDescent="0.25">
      <c r="A6" s="48" t="s">
        <v>71</v>
      </c>
      <c r="B6" s="7" t="s">
        <v>72</v>
      </c>
      <c r="C6" s="48" t="s">
        <v>73</v>
      </c>
      <c r="D6" s="48" t="s">
        <v>1499</v>
      </c>
      <c r="E6" s="52" t="s">
        <v>60</v>
      </c>
      <c r="F6" s="3" t="s">
        <v>46</v>
      </c>
      <c r="G6" s="48" t="s">
        <v>47</v>
      </c>
      <c r="H6" s="48" t="str">
        <f t="shared" si="0"/>
        <v xml:space="preserve">    RO5</v>
      </c>
      <c r="I6" s="48"/>
      <c r="J6" s="48"/>
      <c r="K6" s="48"/>
      <c r="L6" s="48"/>
      <c r="M6" s="48" t="s">
        <v>31</v>
      </c>
      <c r="N6" s="48" t="s">
        <v>74</v>
      </c>
      <c r="O6" s="48" t="s">
        <v>75</v>
      </c>
      <c r="P6" s="48" t="s">
        <v>76</v>
      </c>
      <c r="Q6" s="48" t="s">
        <v>77</v>
      </c>
      <c r="R6" s="48" t="s">
        <v>78</v>
      </c>
      <c r="S6" s="48" t="s">
        <v>67</v>
      </c>
      <c r="T6" s="48" t="s">
        <v>79</v>
      </c>
      <c r="U6" s="33" t="s">
        <v>1208</v>
      </c>
      <c r="V6" s="15" t="s">
        <v>80</v>
      </c>
      <c r="W6" s="38" t="s">
        <v>1422</v>
      </c>
      <c r="X6" s="15" t="s">
        <v>1230</v>
      </c>
      <c r="Y6" s="15" t="s">
        <v>1392</v>
      </c>
      <c r="Z6" s="15" t="s">
        <v>1357</v>
      </c>
      <c r="AA6" s="38" t="s">
        <v>1425</v>
      </c>
      <c r="AB6" s="38" t="s">
        <v>1428</v>
      </c>
    </row>
    <row r="7" spans="1:28" ht="45" customHeight="1" x14ac:dyDescent="0.25">
      <c r="A7" s="48" t="s">
        <v>81</v>
      </c>
      <c r="B7" s="2" t="s">
        <v>23</v>
      </c>
      <c r="C7" s="48" t="s">
        <v>82</v>
      </c>
      <c r="D7" s="48" t="s">
        <v>83</v>
      </c>
      <c r="E7" s="52" t="s">
        <v>60</v>
      </c>
      <c r="F7" s="3" t="s">
        <v>84</v>
      </c>
      <c r="G7" s="48" t="s">
        <v>61</v>
      </c>
      <c r="H7" s="48" t="str">
        <f t="shared" si="0"/>
        <v>RO1   RO4 RO5</v>
      </c>
      <c r="I7" s="48" t="s">
        <v>28</v>
      </c>
      <c r="J7" s="48"/>
      <c r="K7" s="48"/>
      <c r="L7" s="48" t="s">
        <v>30</v>
      </c>
      <c r="M7" s="48" t="s">
        <v>31</v>
      </c>
      <c r="N7" s="48" t="s">
        <v>1243</v>
      </c>
      <c r="O7" s="48" t="s">
        <v>50</v>
      </c>
      <c r="P7" s="48" t="s">
        <v>85</v>
      </c>
      <c r="Q7" s="48" t="s">
        <v>86</v>
      </c>
      <c r="R7" s="48" t="s">
        <v>87</v>
      </c>
      <c r="S7" s="48" t="s">
        <v>67</v>
      </c>
      <c r="T7" s="48" t="s">
        <v>88</v>
      </c>
      <c r="U7" s="30" t="s">
        <v>1195</v>
      </c>
      <c r="V7" s="15" t="s">
        <v>89</v>
      </c>
      <c r="W7" s="38" t="s">
        <v>1422</v>
      </c>
      <c r="X7" s="15" t="s">
        <v>1229</v>
      </c>
      <c r="Y7" t="s">
        <v>1147</v>
      </c>
      <c r="Z7" s="15" t="s">
        <v>1312</v>
      </c>
      <c r="AA7" s="15" t="s">
        <v>1427</v>
      </c>
      <c r="AB7" s="15" t="s">
        <v>1429</v>
      </c>
    </row>
    <row r="8" spans="1:28" ht="45" customHeight="1" x14ac:dyDescent="0.25">
      <c r="A8" s="48" t="s">
        <v>90</v>
      </c>
      <c r="B8" s="7" t="s">
        <v>72</v>
      </c>
      <c r="C8" s="48" t="s">
        <v>91</v>
      </c>
      <c r="D8" s="48" t="s">
        <v>92</v>
      </c>
      <c r="E8" s="52">
        <v>2026</v>
      </c>
      <c r="F8" s="3" t="s">
        <v>46</v>
      </c>
      <c r="G8" s="48" t="s">
        <v>47</v>
      </c>
      <c r="H8" s="48" t="str">
        <f t="shared" si="0"/>
        <v xml:space="preserve">   RO4 </v>
      </c>
      <c r="I8" s="48"/>
      <c r="J8" s="48"/>
      <c r="K8" s="48"/>
      <c r="L8" s="48" t="s">
        <v>30</v>
      </c>
      <c r="M8" s="48"/>
      <c r="N8" s="48" t="s">
        <v>1478</v>
      </c>
      <c r="O8" s="48" t="s">
        <v>50</v>
      </c>
      <c r="P8" s="48" t="s">
        <v>93</v>
      </c>
      <c r="Q8" s="48" t="s">
        <v>94</v>
      </c>
      <c r="R8" s="48" t="s">
        <v>95</v>
      </c>
      <c r="S8" s="48" t="s">
        <v>67</v>
      </c>
      <c r="T8" s="48" t="s">
        <v>1479</v>
      </c>
      <c r="U8" s="28" t="s">
        <v>96</v>
      </c>
      <c r="V8" s="15" t="s">
        <v>97</v>
      </c>
      <c r="W8" s="38" t="s">
        <v>1422</v>
      </c>
      <c r="X8" s="15" t="s">
        <v>1229</v>
      </c>
      <c r="Y8" t="s">
        <v>1147</v>
      </c>
      <c r="Z8" s="15" t="s">
        <v>1358</v>
      </c>
      <c r="AA8" s="38" t="s">
        <v>1425</v>
      </c>
      <c r="AB8" s="38" t="s">
        <v>1428</v>
      </c>
    </row>
    <row r="9" spans="1:28" ht="45" customHeight="1" x14ac:dyDescent="0.25">
      <c r="A9" s="48" t="s">
        <v>98</v>
      </c>
      <c r="B9" s="7" t="s">
        <v>72</v>
      </c>
      <c r="C9" s="48" t="s">
        <v>99</v>
      </c>
      <c r="D9" s="48" t="s">
        <v>100</v>
      </c>
      <c r="E9" s="52">
        <v>2026</v>
      </c>
      <c r="F9" s="3" t="s">
        <v>26</v>
      </c>
      <c r="G9" s="48" t="s">
        <v>61</v>
      </c>
      <c r="H9" s="48" t="str">
        <f t="shared" si="0"/>
        <v xml:space="preserve">RO1    </v>
      </c>
      <c r="I9" s="48" t="s">
        <v>28</v>
      </c>
      <c r="J9" s="48"/>
      <c r="K9" s="48"/>
      <c r="L9" s="48"/>
      <c r="M9" s="48"/>
      <c r="N9" s="48" t="s">
        <v>74</v>
      </c>
      <c r="O9" s="48" t="s">
        <v>63</v>
      </c>
      <c r="P9" s="48" t="s">
        <v>93</v>
      </c>
      <c r="Q9" s="48" t="s">
        <v>94</v>
      </c>
      <c r="R9" s="48" t="s">
        <v>101</v>
      </c>
      <c r="S9" s="48" t="s">
        <v>67</v>
      </c>
      <c r="T9" s="48" t="s">
        <v>102</v>
      </c>
      <c r="U9" s="28" t="s">
        <v>96</v>
      </c>
      <c r="V9" s="15" t="s">
        <v>103</v>
      </c>
      <c r="W9" s="38" t="s">
        <v>1422</v>
      </c>
      <c r="X9" s="15" t="s">
        <v>1229</v>
      </c>
      <c r="Y9" t="s">
        <v>1147</v>
      </c>
      <c r="Z9" s="15" t="s">
        <v>1327</v>
      </c>
      <c r="AA9" s="38" t="s">
        <v>1425</v>
      </c>
      <c r="AB9" s="38" t="s">
        <v>1428</v>
      </c>
    </row>
    <row r="10" spans="1:28" ht="45" customHeight="1" x14ac:dyDescent="0.25">
      <c r="A10" s="48" t="s">
        <v>104</v>
      </c>
      <c r="B10" s="12" t="s">
        <v>1163</v>
      </c>
      <c r="C10" s="48" t="s">
        <v>105</v>
      </c>
      <c r="D10" s="48" t="s">
        <v>106</v>
      </c>
      <c r="E10" s="52" t="s">
        <v>60</v>
      </c>
      <c r="F10" s="3" t="s">
        <v>26</v>
      </c>
      <c r="G10" s="48" t="s">
        <v>61</v>
      </c>
      <c r="H10" s="48" t="str">
        <f t="shared" si="0"/>
        <v xml:space="preserve">  RO3  </v>
      </c>
      <c r="I10" s="48"/>
      <c r="J10" s="48"/>
      <c r="K10" s="48" t="s">
        <v>48</v>
      </c>
      <c r="L10" s="48"/>
      <c r="M10" s="48"/>
      <c r="N10" s="48" t="s">
        <v>74</v>
      </c>
      <c r="O10" s="48" t="s">
        <v>75</v>
      </c>
      <c r="P10" s="48" t="s">
        <v>93</v>
      </c>
      <c r="Q10" s="48" t="s">
        <v>107</v>
      </c>
      <c r="R10" s="48" t="s">
        <v>108</v>
      </c>
      <c r="S10" s="48" t="s">
        <v>67</v>
      </c>
      <c r="T10" s="48" t="s">
        <v>109</v>
      </c>
      <c r="U10" s="28" t="s">
        <v>96</v>
      </c>
      <c r="V10" s="15" t="s">
        <v>110</v>
      </c>
      <c r="W10" s="38" t="s">
        <v>1422</v>
      </c>
      <c r="X10" s="15" t="s">
        <v>1229</v>
      </c>
      <c r="Y10" t="s">
        <v>1147</v>
      </c>
      <c r="Z10" s="19" t="s">
        <v>1278</v>
      </c>
      <c r="AA10" s="38" t="s">
        <v>1425</v>
      </c>
      <c r="AB10" s="38" t="s">
        <v>1428</v>
      </c>
    </row>
    <row r="11" spans="1:28" ht="45" customHeight="1" x14ac:dyDescent="0.25">
      <c r="A11" s="48" t="s">
        <v>111</v>
      </c>
      <c r="B11" s="12" t="s">
        <v>1163</v>
      </c>
      <c r="C11" s="48" t="s">
        <v>1205</v>
      </c>
      <c r="D11" s="53" t="s">
        <v>1206</v>
      </c>
      <c r="E11" s="52">
        <v>2026</v>
      </c>
      <c r="F11" s="3" t="s">
        <v>26</v>
      </c>
      <c r="G11" s="48" t="s">
        <v>61</v>
      </c>
      <c r="H11" s="48" t="str">
        <f t="shared" si="0"/>
        <v xml:space="preserve">RO1    </v>
      </c>
      <c r="I11" s="48" t="s">
        <v>28</v>
      </c>
      <c r="J11" s="48"/>
      <c r="K11" s="48"/>
      <c r="L11" s="48"/>
      <c r="M11" s="48"/>
      <c r="N11" s="48" t="s">
        <v>112</v>
      </c>
      <c r="O11" s="48" t="s">
        <v>63</v>
      </c>
      <c r="P11" s="48" t="s">
        <v>93</v>
      </c>
      <c r="Q11" s="48" t="s">
        <v>107</v>
      </c>
      <c r="R11" s="48" t="s">
        <v>113</v>
      </c>
      <c r="S11" s="48" t="s">
        <v>67</v>
      </c>
      <c r="T11" s="48" t="s">
        <v>114</v>
      </c>
      <c r="U11" s="28" t="s">
        <v>96</v>
      </c>
      <c r="V11" s="15" t="s">
        <v>115</v>
      </c>
      <c r="W11" s="38" t="s">
        <v>1422</v>
      </c>
      <c r="X11" s="15" t="s">
        <v>1229</v>
      </c>
      <c r="Y11" t="s">
        <v>1147</v>
      </c>
      <c r="Z11" s="15" t="s">
        <v>1279</v>
      </c>
      <c r="AA11" s="38" t="s">
        <v>1425</v>
      </c>
      <c r="AB11" s="38" t="s">
        <v>1428</v>
      </c>
    </row>
    <row r="12" spans="1:28" ht="45" customHeight="1" x14ac:dyDescent="0.25">
      <c r="A12" s="48" t="s">
        <v>116</v>
      </c>
      <c r="B12" s="7" t="s">
        <v>72</v>
      </c>
      <c r="C12" s="48" t="s">
        <v>117</v>
      </c>
      <c r="D12" s="48" t="s">
        <v>1274</v>
      </c>
      <c r="E12" s="52" t="s">
        <v>45</v>
      </c>
      <c r="F12" s="3" t="s">
        <v>26</v>
      </c>
      <c r="G12" s="48" t="s">
        <v>61</v>
      </c>
      <c r="H12" s="48" t="str">
        <f t="shared" si="0"/>
        <v xml:space="preserve">   RO4 </v>
      </c>
      <c r="I12" s="48"/>
      <c r="J12" s="48"/>
      <c r="K12" s="48"/>
      <c r="L12" s="48" t="s">
        <v>30</v>
      </c>
      <c r="M12" s="48"/>
      <c r="N12" s="48" t="s">
        <v>118</v>
      </c>
      <c r="O12" s="48" t="s">
        <v>75</v>
      </c>
      <c r="P12" s="48" t="s">
        <v>93</v>
      </c>
      <c r="Q12" s="48" t="s">
        <v>94</v>
      </c>
      <c r="R12" s="48" t="s">
        <v>119</v>
      </c>
      <c r="S12" s="48" t="s">
        <v>67</v>
      </c>
      <c r="T12" s="48" t="s">
        <v>1480</v>
      </c>
      <c r="U12" s="28" t="s">
        <v>96</v>
      </c>
      <c r="V12" s="15" t="s">
        <v>120</v>
      </c>
      <c r="W12" s="38" t="s">
        <v>1422</v>
      </c>
      <c r="X12" s="15" t="s">
        <v>1229</v>
      </c>
      <c r="Y12" t="s">
        <v>1147</v>
      </c>
      <c r="Z12" s="15" t="s">
        <v>1359</v>
      </c>
      <c r="AA12" s="38" t="s">
        <v>1425</v>
      </c>
      <c r="AB12" s="38" t="s">
        <v>1428</v>
      </c>
    </row>
    <row r="13" spans="1:28" ht="45" customHeight="1" x14ac:dyDescent="0.25">
      <c r="A13" s="48" t="s">
        <v>121</v>
      </c>
      <c r="B13" s="7" t="s">
        <v>72</v>
      </c>
      <c r="C13" s="48" t="s">
        <v>122</v>
      </c>
      <c r="D13" s="48" t="s">
        <v>123</v>
      </c>
      <c r="E13" s="52" t="s">
        <v>45</v>
      </c>
      <c r="F13" s="3" t="s">
        <v>26</v>
      </c>
      <c r="G13" s="48" t="s">
        <v>61</v>
      </c>
      <c r="H13" s="48" t="str">
        <f t="shared" si="0"/>
        <v xml:space="preserve">RO1    </v>
      </c>
      <c r="I13" s="48" t="s">
        <v>28</v>
      </c>
      <c r="J13" s="48"/>
      <c r="K13" s="48"/>
      <c r="L13" s="48"/>
      <c r="M13" s="48"/>
      <c r="N13" s="48" t="s">
        <v>124</v>
      </c>
      <c r="O13" s="48" t="s">
        <v>63</v>
      </c>
      <c r="P13" s="48" t="s">
        <v>93</v>
      </c>
      <c r="Q13" s="48" t="s">
        <v>107</v>
      </c>
      <c r="R13" s="48" t="s">
        <v>125</v>
      </c>
      <c r="S13" s="48" t="s">
        <v>67</v>
      </c>
      <c r="T13" s="48" t="s">
        <v>126</v>
      </c>
      <c r="U13" s="28" t="s">
        <v>96</v>
      </c>
      <c r="V13" s="15" t="s">
        <v>127</v>
      </c>
      <c r="W13" s="38" t="s">
        <v>1422</v>
      </c>
      <c r="X13" s="15" t="s">
        <v>1229</v>
      </c>
      <c r="Y13" t="s">
        <v>1147</v>
      </c>
      <c r="Z13" s="15" t="s">
        <v>1328</v>
      </c>
      <c r="AA13" s="38" t="s">
        <v>1425</v>
      </c>
      <c r="AB13" s="38" t="s">
        <v>1428</v>
      </c>
    </row>
    <row r="14" spans="1:28" ht="45" customHeight="1" x14ac:dyDescent="0.25">
      <c r="A14" s="48" t="s">
        <v>128</v>
      </c>
      <c r="B14" s="7" t="s">
        <v>72</v>
      </c>
      <c r="C14" s="48" t="s">
        <v>129</v>
      </c>
      <c r="D14" s="48" t="s">
        <v>130</v>
      </c>
      <c r="E14" s="52" t="s">
        <v>60</v>
      </c>
      <c r="F14" s="3" t="s">
        <v>1172</v>
      </c>
      <c r="G14" s="48" t="s">
        <v>131</v>
      </c>
      <c r="H14" s="48" t="str">
        <f t="shared" si="0"/>
        <v xml:space="preserve">RO1    </v>
      </c>
      <c r="I14" s="48" t="s">
        <v>28</v>
      </c>
      <c r="J14" s="48"/>
      <c r="K14" s="48"/>
      <c r="L14" s="48"/>
      <c r="M14" s="48"/>
      <c r="N14" s="48" t="s">
        <v>49</v>
      </c>
      <c r="O14" s="48" t="s">
        <v>50</v>
      </c>
      <c r="P14" s="48" t="s">
        <v>51</v>
      </c>
      <c r="Q14" s="48" t="s">
        <v>77</v>
      </c>
      <c r="R14" s="48" t="s">
        <v>132</v>
      </c>
      <c r="S14" s="48" t="s">
        <v>67</v>
      </c>
      <c r="T14" s="48" t="s">
        <v>133</v>
      </c>
      <c r="U14" s="28" t="s">
        <v>1194</v>
      </c>
      <c r="V14" s="15" t="s">
        <v>134</v>
      </c>
      <c r="W14" s="38" t="s">
        <v>1422</v>
      </c>
      <c r="X14" s="15" t="s">
        <v>1230</v>
      </c>
      <c r="Y14" s="15" t="s">
        <v>1173</v>
      </c>
      <c r="Z14" s="15" t="s">
        <v>1329</v>
      </c>
      <c r="AA14" s="38" t="s">
        <v>1425</v>
      </c>
      <c r="AB14" s="38" t="s">
        <v>1428</v>
      </c>
    </row>
    <row r="15" spans="1:28" ht="45" customHeight="1" x14ac:dyDescent="0.25">
      <c r="A15" s="48" t="s">
        <v>135</v>
      </c>
      <c r="B15" s="2" t="s">
        <v>23</v>
      </c>
      <c r="C15" s="48" t="s">
        <v>136</v>
      </c>
      <c r="D15" s="48" t="s">
        <v>137</v>
      </c>
      <c r="E15" s="52" t="s">
        <v>60</v>
      </c>
      <c r="F15" s="3" t="s">
        <v>26</v>
      </c>
      <c r="G15" s="48" t="s">
        <v>131</v>
      </c>
      <c r="H15" s="48" t="str">
        <f t="shared" si="0"/>
        <v xml:space="preserve">RO1  RO3 RO4 </v>
      </c>
      <c r="I15" s="48" t="s">
        <v>28</v>
      </c>
      <c r="J15" s="48"/>
      <c r="K15" s="48" t="s">
        <v>48</v>
      </c>
      <c r="L15" s="48" t="s">
        <v>30</v>
      </c>
      <c r="M15" s="48"/>
      <c r="N15" s="48" t="s">
        <v>124</v>
      </c>
      <c r="O15" s="48" t="s">
        <v>75</v>
      </c>
      <c r="P15" s="48" t="s">
        <v>51</v>
      </c>
      <c r="Q15" s="48" t="s">
        <v>139</v>
      </c>
      <c r="R15" s="48" t="s">
        <v>113</v>
      </c>
      <c r="S15" s="48" t="s">
        <v>67</v>
      </c>
      <c r="T15" s="48" t="s">
        <v>140</v>
      </c>
      <c r="U15" s="28" t="s">
        <v>1194</v>
      </c>
      <c r="V15" s="15" t="s">
        <v>142</v>
      </c>
      <c r="W15" s="38" t="s">
        <v>1422</v>
      </c>
      <c r="X15" s="15" t="s">
        <v>1229</v>
      </c>
      <c r="Y15" t="s">
        <v>1147</v>
      </c>
      <c r="Z15" s="15" t="s">
        <v>1313</v>
      </c>
      <c r="AA15" s="38" t="s">
        <v>1425</v>
      </c>
      <c r="AB15" s="38" t="s">
        <v>1428</v>
      </c>
    </row>
    <row r="16" spans="1:28" ht="45" customHeight="1" x14ac:dyDescent="0.25">
      <c r="A16" s="48" t="s">
        <v>143</v>
      </c>
      <c r="B16" s="7" t="s">
        <v>72</v>
      </c>
      <c r="C16" s="48" t="s">
        <v>144</v>
      </c>
      <c r="D16" s="48" t="s">
        <v>145</v>
      </c>
      <c r="E16" s="52" t="s">
        <v>60</v>
      </c>
      <c r="F16" s="3" t="s">
        <v>26</v>
      </c>
      <c r="G16" s="48" t="s">
        <v>131</v>
      </c>
      <c r="H16" s="48" t="str">
        <f t="shared" si="0"/>
        <v xml:space="preserve">  RO3  </v>
      </c>
      <c r="I16" s="48"/>
      <c r="J16" s="48"/>
      <c r="K16" s="48" t="s">
        <v>48</v>
      </c>
      <c r="L16" s="48"/>
      <c r="M16" s="48"/>
      <c r="N16" s="48" t="s">
        <v>124</v>
      </c>
      <c r="O16" s="48" t="s">
        <v>146</v>
      </c>
      <c r="P16" s="48" t="s">
        <v>147</v>
      </c>
      <c r="Q16" s="48" t="s">
        <v>77</v>
      </c>
      <c r="R16" s="48" t="s">
        <v>148</v>
      </c>
      <c r="S16" s="48" t="s">
        <v>67</v>
      </c>
      <c r="T16" s="48" t="s">
        <v>149</v>
      </c>
      <c r="U16" s="25" t="s">
        <v>141</v>
      </c>
      <c r="V16" s="61" t="s">
        <v>150</v>
      </c>
      <c r="W16" s="38" t="s">
        <v>1422</v>
      </c>
      <c r="X16" s="15" t="s">
        <v>1229</v>
      </c>
      <c r="Y16" t="s">
        <v>1147</v>
      </c>
      <c r="Z16" s="15" t="s">
        <v>1360</v>
      </c>
      <c r="AA16" s="38" t="s">
        <v>1425</v>
      </c>
      <c r="AB16" s="38" t="s">
        <v>1428</v>
      </c>
    </row>
    <row r="17" spans="1:28" ht="45" customHeight="1" x14ac:dyDescent="0.25">
      <c r="A17" s="48" t="s">
        <v>151</v>
      </c>
      <c r="B17" s="12" t="s">
        <v>1163</v>
      </c>
      <c r="C17" s="48" t="s">
        <v>152</v>
      </c>
      <c r="D17" s="48" t="s">
        <v>1306</v>
      </c>
      <c r="E17" s="52">
        <v>2026</v>
      </c>
      <c r="F17" s="3" t="s">
        <v>26</v>
      </c>
      <c r="G17" s="48" t="s">
        <v>131</v>
      </c>
      <c r="H17" s="48" t="str">
        <f t="shared" si="0"/>
        <v xml:space="preserve">RO1  RO3  </v>
      </c>
      <c r="I17" s="48" t="s">
        <v>28</v>
      </c>
      <c r="J17" s="48"/>
      <c r="K17" s="48" t="s">
        <v>48</v>
      </c>
      <c r="L17" s="48"/>
      <c r="M17" s="48"/>
      <c r="N17" s="48" t="s">
        <v>153</v>
      </c>
      <c r="O17" s="48" t="s">
        <v>63</v>
      </c>
      <c r="P17" s="48" t="s">
        <v>51</v>
      </c>
      <c r="Q17" s="48" t="s">
        <v>154</v>
      </c>
      <c r="R17" s="48" t="s">
        <v>155</v>
      </c>
      <c r="S17" s="48" t="s">
        <v>67</v>
      </c>
      <c r="T17" s="48" t="s">
        <v>156</v>
      </c>
      <c r="U17" s="34" t="s">
        <v>141</v>
      </c>
      <c r="V17" s="15" t="s">
        <v>157</v>
      </c>
      <c r="W17" s="38" t="s">
        <v>1422</v>
      </c>
      <c r="X17" s="15" t="s">
        <v>1229</v>
      </c>
      <c r="Y17" t="s">
        <v>1147</v>
      </c>
      <c r="Z17" s="15" t="s">
        <v>1280</v>
      </c>
      <c r="AA17" s="38" t="s">
        <v>1425</v>
      </c>
      <c r="AB17" s="38" t="s">
        <v>1428</v>
      </c>
    </row>
    <row r="18" spans="1:28" ht="45" customHeight="1" x14ac:dyDescent="0.25">
      <c r="A18" s="13" t="s">
        <v>158</v>
      </c>
      <c r="B18" s="42" t="s">
        <v>42</v>
      </c>
      <c r="C18" s="48" t="s">
        <v>159</v>
      </c>
      <c r="D18" s="48" t="s">
        <v>1460</v>
      </c>
      <c r="E18" s="52" t="s">
        <v>45</v>
      </c>
      <c r="F18" s="3" t="s">
        <v>26</v>
      </c>
      <c r="G18" s="48" t="s">
        <v>131</v>
      </c>
      <c r="H18" s="48" t="str">
        <f t="shared" si="0"/>
        <v xml:space="preserve">   RO4 RO5</v>
      </c>
      <c r="I18" s="48"/>
      <c r="J18" s="48"/>
      <c r="K18" s="48"/>
      <c r="L18" s="48" t="s">
        <v>30</v>
      </c>
      <c r="M18" s="48" t="s">
        <v>31</v>
      </c>
      <c r="N18" s="48" t="s">
        <v>160</v>
      </c>
      <c r="O18" s="48" t="s">
        <v>63</v>
      </c>
      <c r="P18" s="48" t="s">
        <v>51</v>
      </c>
      <c r="Q18" s="48" t="s">
        <v>154</v>
      </c>
      <c r="R18" s="48" t="s">
        <v>161</v>
      </c>
      <c r="S18" s="48" t="s">
        <v>67</v>
      </c>
      <c r="T18" s="48" t="s">
        <v>162</v>
      </c>
      <c r="U18" s="25" t="s">
        <v>141</v>
      </c>
      <c r="V18" s="19" t="s">
        <v>163</v>
      </c>
      <c r="W18" s="38" t="s">
        <v>1422</v>
      </c>
      <c r="X18" s="15" t="s">
        <v>1229</v>
      </c>
      <c r="Y18" t="s">
        <v>1147</v>
      </c>
      <c r="Z18" s="15" t="s">
        <v>1246</v>
      </c>
      <c r="AA18" s="38" t="s">
        <v>1425</v>
      </c>
      <c r="AB18" s="38" t="s">
        <v>1428</v>
      </c>
    </row>
    <row r="19" spans="1:28" ht="45" customHeight="1" x14ac:dyDescent="0.25">
      <c r="A19" s="48" t="s">
        <v>164</v>
      </c>
      <c r="B19" s="7" t="s">
        <v>72</v>
      </c>
      <c r="C19" s="48" t="s">
        <v>165</v>
      </c>
      <c r="D19" s="48" t="s">
        <v>1269</v>
      </c>
      <c r="E19" s="52" t="s">
        <v>45</v>
      </c>
      <c r="F19" s="3" t="s">
        <v>26</v>
      </c>
      <c r="G19" s="48" t="s">
        <v>131</v>
      </c>
      <c r="H19" s="48" t="str">
        <f t="shared" si="0"/>
        <v xml:space="preserve">RO1    </v>
      </c>
      <c r="I19" s="48" t="s">
        <v>28</v>
      </c>
      <c r="J19" s="48"/>
      <c r="K19" s="48"/>
      <c r="L19" s="48"/>
      <c r="M19" s="48"/>
      <c r="N19" s="48" t="s">
        <v>166</v>
      </c>
      <c r="O19" s="48" t="s">
        <v>63</v>
      </c>
      <c r="P19" s="48" t="s">
        <v>51</v>
      </c>
      <c r="Q19" s="48" t="s">
        <v>107</v>
      </c>
      <c r="R19" s="48" t="s">
        <v>167</v>
      </c>
      <c r="S19" s="48" t="s">
        <v>67</v>
      </c>
      <c r="T19" s="48" t="s">
        <v>168</v>
      </c>
      <c r="U19" s="25" t="s">
        <v>141</v>
      </c>
      <c r="V19" s="53" t="s">
        <v>169</v>
      </c>
      <c r="W19" s="38" t="s">
        <v>1422</v>
      </c>
      <c r="X19" s="15" t="s">
        <v>1229</v>
      </c>
      <c r="Y19" t="s">
        <v>1147</v>
      </c>
      <c r="Z19" s="15" t="s">
        <v>1330</v>
      </c>
      <c r="AA19" s="38" t="s">
        <v>1425</v>
      </c>
      <c r="AB19" s="38" t="s">
        <v>1428</v>
      </c>
    </row>
    <row r="20" spans="1:28" ht="45" customHeight="1" x14ac:dyDescent="0.25">
      <c r="A20" s="48" t="s">
        <v>170</v>
      </c>
      <c r="B20" s="7" t="s">
        <v>72</v>
      </c>
      <c r="C20" s="48" t="s">
        <v>1500</v>
      </c>
      <c r="D20" s="48" t="s">
        <v>171</v>
      </c>
      <c r="E20" s="52" t="s">
        <v>60</v>
      </c>
      <c r="F20" s="3" t="s">
        <v>26</v>
      </c>
      <c r="G20" s="48" t="s">
        <v>61</v>
      </c>
      <c r="H20" s="48" t="str">
        <f t="shared" si="0"/>
        <v xml:space="preserve">    RO5</v>
      </c>
      <c r="I20" s="48"/>
      <c r="J20" s="48"/>
      <c r="K20" s="48"/>
      <c r="L20" s="48"/>
      <c r="M20" s="48" t="s">
        <v>31</v>
      </c>
      <c r="N20" s="48" t="s">
        <v>74</v>
      </c>
      <c r="O20" s="48" t="s">
        <v>63</v>
      </c>
      <c r="P20" s="48" t="s">
        <v>51</v>
      </c>
      <c r="Q20" s="48" t="s">
        <v>107</v>
      </c>
      <c r="R20" s="48" t="s">
        <v>172</v>
      </c>
      <c r="S20" s="48" t="s">
        <v>67</v>
      </c>
      <c r="T20" s="48" t="s">
        <v>173</v>
      </c>
      <c r="U20" s="25" t="s">
        <v>141</v>
      </c>
      <c r="V20" s="15" t="s">
        <v>174</v>
      </c>
      <c r="W20" s="38" t="s">
        <v>1422</v>
      </c>
      <c r="X20" s="15" t="s">
        <v>1229</v>
      </c>
      <c r="Y20" t="s">
        <v>1147</v>
      </c>
      <c r="Z20" s="15" t="s">
        <v>1361</v>
      </c>
      <c r="AA20" s="38" t="s">
        <v>1425</v>
      </c>
      <c r="AB20" s="38" t="s">
        <v>1428</v>
      </c>
    </row>
    <row r="21" spans="1:28" ht="45" customHeight="1" x14ac:dyDescent="0.25">
      <c r="A21" s="48" t="s">
        <v>175</v>
      </c>
      <c r="B21" s="7" t="s">
        <v>72</v>
      </c>
      <c r="C21" s="48" t="s">
        <v>176</v>
      </c>
      <c r="D21" s="48" t="s">
        <v>1207</v>
      </c>
      <c r="E21" s="52" t="s">
        <v>45</v>
      </c>
      <c r="F21" s="3" t="s">
        <v>26</v>
      </c>
      <c r="G21" s="48" t="s">
        <v>61</v>
      </c>
      <c r="H21" s="48" t="str">
        <f t="shared" si="0"/>
        <v xml:space="preserve">RO1    </v>
      </c>
      <c r="I21" s="48" t="s">
        <v>28</v>
      </c>
      <c r="J21" s="48"/>
      <c r="K21" s="48"/>
      <c r="L21" s="48"/>
      <c r="M21" s="48"/>
      <c r="N21" s="48" t="s">
        <v>177</v>
      </c>
      <c r="O21" s="48" t="s">
        <v>50</v>
      </c>
      <c r="P21" s="48" t="s">
        <v>51</v>
      </c>
      <c r="Q21" s="48" t="s">
        <v>107</v>
      </c>
      <c r="R21" s="48" t="s">
        <v>178</v>
      </c>
      <c r="S21" s="48" t="s">
        <v>67</v>
      </c>
      <c r="T21" s="48" t="s">
        <v>179</v>
      </c>
      <c r="U21" s="25" t="s">
        <v>141</v>
      </c>
      <c r="V21" s="15" t="s">
        <v>180</v>
      </c>
      <c r="W21" s="38" t="s">
        <v>1422</v>
      </c>
      <c r="X21" s="15" t="s">
        <v>1229</v>
      </c>
      <c r="Y21" t="s">
        <v>1147</v>
      </c>
      <c r="Z21" s="15" t="s">
        <v>1331</v>
      </c>
      <c r="AA21" s="38" t="s">
        <v>1425</v>
      </c>
      <c r="AB21" s="38" t="s">
        <v>1428</v>
      </c>
    </row>
    <row r="22" spans="1:28" ht="45" customHeight="1" x14ac:dyDescent="0.25">
      <c r="A22" s="48" t="s">
        <v>181</v>
      </c>
      <c r="B22" s="7" t="s">
        <v>72</v>
      </c>
      <c r="C22" s="48" t="s">
        <v>1391</v>
      </c>
      <c r="D22" s="48" t="s">
        <v>1414</v>
      </c>
      <c r="E22" s="52" t="s">
        <v>60</v>
      </c>
      <c r="F22" s="3" t="s">
        <v>138</v>
      </c>
      <c r="G22" s="48" t="s">
        <v>61</v>
      </c>
      <c r="H22" s="48" t="str">
        <f t="shared" si="0"/>
        <v xml:space="preserve">   RO4 </v>
      </c>
      <c r="I22" s="48"/>
      <c r="J22" s="48"/>
      <c r="K22" s="48"/>
      <c r="L22" s="48" t="s">
        <v>30</v>
      </c>
      <c r="M22" s="48"/>
      <c r="N22" s="48" t="s">
        <v>74</v>
      </c>
      <c r="O22" s="48" t="s">
        <v>75</v>
      </c>
      <c r="P22" s="48" t="s">
        <v>51</v>
      </c>
      <c r="Q22" s="48" t="s">
        <v>182</v>
      </c>
      <c r="R22" s="48" t="s">
        <v>183</v>
      </c>
      <c r="S22" s="48" t="s">
        <v>67</v>
      </c>
      <c r="T22" s="48" t="s">
        <v>1481</v>
      </c>
      <c r="U22" s="25" t="s">
        <v>1181</v>
      </c>
      <c r="V22" s="61" t="s">
        <v>184</v>
      </c>
      <c r="W22" s="38" t="s">
        <v>1422</v>
      </c>
      <c r="X22" s="15" t="s">
        <v>1229</v>
      </c>
      <c r="Y22" s="15" t="s">
        <v>1144</v>
      </c>
      <c r="Z22" s="15" t="s">
        <v>1362</v>
      </c>
      <c r="AA22" s="38" t="s">
        <v>1425</v>
      </c>
      <c r="AB22" s="38" t="s">
        <v>1428</v>
      </c>
    </row>
    <row r="23" spans="1:28" ht="69" customHeight="1" x14ac:dyDescent="0.25">
      <c r="A23" s="48" t="s">
        <v>185</v>
      </c>
      <c r="B23" s="7" t="s">
        <v>72</v>
      </c>
      <c r="C23" s="48" t="s">
        <v>186</v>
      </c>
      <c r="D23" s="48" t="s">
        <v>187</v>
      </c>
      <c r="E23" s="52" t="s">
        <v>45</v>
      </c>
      <c r="F23" s="3" t="s">
        <v>26</v>
      </c>
      <c r="G23" s="48" t="s">
        <v>61</v>
      </c>
      <c r="H23" s="48" t="str">
        <f t="shared" si="0"/>
        <v xml:space="preserve">   RO4 </v>
      </c>
      <c r="I23" s="48"/>
      <c r="J23" s="48"/>
      <c r="K23" s="48"/>
      <c r="L23" s="48" t="s">
        <v>30</v>
      </c>
      <c r="M23" s="48"/>
      <c r="N23" s="48" t="s">
        <v>188</v>
      </c>
      <c r="O23" s="48" t="s">
        <v>75</v>
      </c>
      <c r="P23" s="48" t="s">
        <v>85</v>
      </c>
      <c r="Q23" s="48" t="s">
        <v>65</v>
      </c>
      <c r="R23" s="48" t="s">
        <v>189</v>
      </c>
      <c r="S23" s="48" t="s">
        <v>67</v>
      </c>
      <c r="T23" s="48" t="s">
        <v>1482</v>
      </c>
      <c r="U23" s="28" t="s">
        <v>96</v>
      </c>
      <c r="V23" s="20" t="s">
        <v>1483</v>
      </c>
      <c r="W23" s="38" t="s">
        <v>1422</v>
      </c>
      <c r="X23" s="15" t="s">
        <v>1229</v>
      </c>
      <c r="Y23" t="s">
        <v>1147</v>
      </c>
      <c r="Z23" s="15" t="s">
        <v>1363</v>
      </c>
      <c r="AA23" s="15" t="s">
        <v>1427</v>
      </c>
      <c r="AB23" s="15" t="s">
        <v>1429</v>
      </c>
    </row>
    <row r="24" spans="1:28" ht="45" customHeight="1" x14ac:dyDescent="0.25">
      <c r="A24" s="48" t="s">
        <v>190</v>
      </c>
      <c r="B24" s="2" t="s">
        <v>23</v>
      </c>
      <c r="C24" s="48" t="s">
        <v>191</v>
      </c>
      <c r="D24" s="48" t="s">
        <v>192</v>
      </c>
      <c r="E24" s="52">
        <v>2026</v>
      </c>
      <c r="F24" s="3" t="s">
        <v>26</v>
      </c>
      <c r="G24" s="48" t="s">
        <v>61</v>
      </c>
      <c r="H24" s="48" t="str">
        <f t="shared" si="0"/>
        <v>RO1  RO3 RO4 RO5</v>
      </c>
      <c r="I24" s="48" t="s">
        <v>28</v>
      </c>
      <c r="J24" s="48"/>
      <c r="K24" s="48" t="s">
        <v>48</v>
      </c>
      <c r="L24" s="48" t="s">
        <v>30</v>
      </c>
      <c r="M24" s="48" t="s">
        <v>31</v>
      </c>
      <c r="N24" s="48" t="s">
        <v>75</v>
      </c>
      <c r="O24" s="48" t="s">
        <v>50</v>
      </c>
      <c r="P24" s="48" t="s">
        <v>193</v>
      </c>
      <c r="Q24" s="48" t="s">
        <v>65</v>
      </c>
      <c r="R24" s="48" t="s">
        <v>194</v>
      </c>
      <c r="S24" s="48" t="s">
        <v>67</v>
      </c>
      <c r="T24" s="48" t="s">
        <v>195</v>
      </c>
      <c r="U24" s="30" t="s">
        <v>1195</v>
      </c>
      <c r="V24" s="15" t="s">
        <v>197</v>
      </c>
      <c r="W24" s="38" t="s">
        <v>1422</v>
      </c>
      <c r="X24" s="15" t="s">
        <v>1229</v>
      </c>
      <c r="Y24" t="s">
        <v>1147</v>
      </c>
      <c r="Z24" s="15" t="s">
        <v>1314</v>
      </c>
      <c r="AA24" s="38" t="s">
        <v>1425</v>
      </c>
      <c r="AB24" s="38" t="s">
        <v>1428</v>
      </c>
    </row>
    <row r="25" spans="1:28" ht="45" customHeight="1" x14ac:dyDescent="0.25">
      <c r="A25" s="48" t="s">
        <v>198</v>
      </c>
      <c r="B25" s="12" t="s">
        <v>1163</v>
      </c>
      <c r="C25" s="48" t="s">
        <v>199</v>
      </c>
      <c r="D25" s="48" t="s">
        <v>200</v>
      </c>
      <c r="E25" s="52" t="s">
        <v>45</v>
      </c>
      <c r="F25" s="3" t="s">
        <v>26</v>
      </c>
      <c r="G25" s="48" t="s">
        <v>61</v>
      </c>
      <c r="H25" s="48" t="str">
        <f t="shared" si="0"/>
        <v xml:space="preserve">RO1    </v>
      </c>
      <c r="I25" s="48" t="s">
        <v>28</v>
      </c>
      <c r="J25" s="48"/>
      <c r="K25" s="48"/>
      <c r="L25" s="48"/>
      <c r="M25" s="48"/>
      <c r="N25" s="48" t="s">
        <v>160</v>
      </c>
      <c r="O25" s="48" t="s">
        <v>63</v>
      </c>
      <c r="P25" s="48" t="s">
        <v>193</v>
      </c>
      <c r="Q25" s="48" t="s">
        <v>65</v>
      </c>
      <c r="R25" s="48" t="s">
        <v>201</v>
      </c>
      <c r="S25" s="48" t="s">
        <v>67</v>
      </c>
      <c r="T25" s="48" t="s">
        <v>202</v>
      </c>
      <c r="U25" s="34" t="s">
        <v>141</v>
      </c>
      <c r="V25" s="22" t="s">
        <v>203</v>
      </c>
      <c r="W25" s="38" t="s">
        <v>1422</v>
      </c>
      <c r="X25" s="15" t="s">
        <v>1229</v>
      </c>
      <c r="Y25" t="s">
        <v>1147</v>
      </c>
      <c r="Z25" s="15" t="s">
        <v>1281</v>
      </c>
      <c r="AA25" s="38" t="s">
        <v>1425</v>
      </c>
      <c r="AB25" s="38" t="s">
        <v>1428</v>
      </c>
    </row>
    <row r="26" spans="1:28" ht="45" customHeight="1" x14ac:dyDescent="0.25">
      <c r="A26" s="48" t="s">
        <v>204</v>
      </c>
      <c r="B26" s="7" t="s">
        <v>72</v>
      </c>
      <c r="C26" s="48" t="s">
        <v>205</v>
      </c>
      <c r="D26" s="48" t="s">
        <v>206</v>
      </c>
      <c r="E26" s="52" t="s">
        <v>45</v>
      </c>
      <c r="F26" s="3" t="s">
        <v>84</v>
      </c>
      <c r="G26" s="48" t="s">
        <v>61</v>
      </c>
      <c r="H26" s="48" t="str">
        <f t="shared" si="0"/>
        <v xml:space="preserve">    RO5</v>
      </c>
      <c r="I26" s="48"/>
      <c r="J26" s="48"/>
      <c r="K26" s="48"/>
      <c r="L26" s="48"/>
      <c r="M26" s="48" t="s">
        <v>31</v>
      </c>
      <c r="N26" s="48" t="s">
        <v>49</v>
      </c>
      <c r="O26" s="48" t="s">
        <v>50</v>
      </c>
      <c r="P26" s="48" t="s">
        <v>51</v>
      </c>
      <c r="Q26" s="48" t="s">
        <v>77</v>
      </c>
      <c r="R26" s="48" t="s">
        <v>207</v>
      </c>
      <c r="S26" s="48" t="s">
        <v>67</v>
      </c>
      <c r="T26" s="48" t="s">
        <v>208</v>
      </c>
      <c r="U26" s="25" t="s">
        <v>141</v>
      </c>
      <c r="V26" s="15" t="s">
        <v>209</v>
      </c>
      <c r="W26" s="38" t="s">
        <v>1422</v>
      </c>
      <c r="X26" s="15" t="s">
        <v>1229</v>
      </c>
      <c r="Y26" t="s">
        <v>1147</v>
      </c>
      <c r="Z26" s="15" t="s">
        <v>1364</v>
      </c>
      <c r="AA26" s="38" t="s">
        <v>1425</v>
      </c>
      <c r="AB26" s="38" t="s">
        <v>1428</v>
      </c>
    </row>
    <row r="27" spans="1:28" ht="45" customHeight="1" x14ac:dyDescent="0.25">
      <c r="A27" s="48" t="s">
        <v>210</v>
      </c>
      <c r="B27" s="6" t="s">
        <v>42</v>
      </c>
      <c r="C27" s="48" t="s">
        <v>211</v>
      </c>
      <c r="D27" s="48" t="s">
        <v>212</v>
      </c>
      <c r="E27" s="52" t="s">
        <v>60</v>
      </c>
      <c r="F27" s="3" t="s">
        <v>138</v>
      </c>
      <c r="G27" s="48" t="s">
        <v>61</v>
      </c>
      <c r="H27" s="48" t="str">
        <f t="shared" si="0"/>
        <v xml:space="preserve">RO1   RO4 </v>
      </c>
      <c r="I27" s="48" t="s">
        <v>28</v>
      </c>
      <c r="J27" s="48"/>
      <c r="K27" s="48"/>
      <c r="L27" s="48" t="s">
        <v>30</v>
      </c>
      <c r="M27" s="48"/>
      <c r="N27" s="48" t="s">
        <v>166</v>
      </c>
      <c r="O27" s="48" t="s">
        <v>63</v>
      </c>
      <c r="P27" s="48" t="s">
        <v>213</v>
      </c>
      <c r="Q27" s="48" t="s">
        <v>52</v>
      </c>
      <c r="R27" s="48" t="s">
        <v>214</v>
      </c>
      <c r="S27" s="48" t="s">
        <v>67</v>
      </c>
      <c r="T27" s="48" t="s">
        <v>215</v>
      </c>
      <c r="U27" s="25" t="s">
        <v>141</v>
      </c>
      <c r="V27" s="61" t="s">
        <v>216</v>
      </c>
      <c r="W27" s="38" t="s">
        <v>1422</v>
      </c>
      <c r="X27" s="15" t="s">
        <v>1229</v>
      </c>
      <c r="Y27" t="s">
        <v>1147</v>
      </c>
      <c r="Z27" s="15" t="s">
        <v>1247</v>
      </c>
      <c r="AA27" s="38" t="s">
        <v>1425</v>
      </c>
      <c r="AB27" s="38" t="s">
        <v>1428</v>
      </c>
    </row>
    <row r="28" spans="1:28" ht="45" customHeight="1" x14ac:dyDescent="0.25">
      <c r="A28" s="48" t="s">
        <v>217</v>
      </c>
      <c r="B28" s="12" t="s">
        <v>1163</v>
      </c>
      <c r="C28" s="48" t="s">
        <v>218</v>
      </c>
      <c r="D28" s="48" t="s">
        <v>219</v>
      </c>
      <c r="E28" s="52" t="s">
        <v>60</v>
      </c>
      <c r="F28" s="3" t="s">
        <v>26</v>
      </c>
      <c r="G28" s="48" t="s">
        <v>61</v>
      </c>
      <c r="H28" s="48" t="str">
        <f t="shared" si="0"/>
        <v xml:space="preserve">RO1    </v>
      </c>
      <c r="I28" s="48" t="s">
        <v>28</v>
      </c>
      <c r="J28" s="48"/>
      <c r="K28" s="48"/>
      <c r="L28" s="48"/>
      <c r="M28" s="48"/>
      <c r="N28" s="48" t="s">
        <v>220</v>
      </c>
      <c r="O28" s="48" t="s">
        <v>63</v>
      </c>
      <c r="P28" s="48" t="s">
        <v>221</v>
      </c>
      <c r="Q28" s="48" t="s">
        <v>222</v>
      </c>
      <c r="R28" s="48" t="s">
        <v>223</v>
      </c>
      <c r="S28" s="48" t="s">
        <v>224</v>
      </c>
      <c r="T28" s="48" t="s">
        <v>225</v>
      </c>
      <c r="U28" s="34" t="s">
        <v>141</v>
      </c>
      <c r="V28" s="15" t="s">
        <v>226</v>
      </c>
      <c r="W28" s="38" t="s">
        <v>1422</v>
      </c>
      <c r="X28" s="15" t="s">
        <v>1229</v>
      </c>
      <c r="Y28" t="s">
        <v>1147</v>
      </c>
      <c r="Z28" s="15" t="s">
        <v>1282</v>
      </c>
      <c r="AA28" s="38" t="s">
        <v>1425</v>
      </c>
      <c r="AB28" s="38" t="s">
        <v>1428</v>
      </c>
    </row>
    <row r="29" spans="1:28" ht="78" customHeight="1" x14ac:dyDescent="0.25">
      <c r="A29" s="48" t="s">
        <v>227</v>
      </c>
      <c r="B29" s="2" t="s">
        <v>23</v>
      </c>
      <c r="C29" s="48" t="s">
        <v>228</v>
      </c>
      <c r="D29" s="48" t="s">
        <v>1509</v>
      </c>
      <c r="E29" s="52">
        <v>2025</v>
      </c>
      <c r="F29" s="3" t="s">
        <v>26</v>
      </c>
      <c r="G29" s="48" t="s">
        <v>229</v>
      </c>
      <c r="H29" s="48" t="str">
        <f t="shared" si="0"/>
        <v>RO1  RO3  RO5</v>
      </c>
      <c r="I29" s="48" t="s">
        <v>28</v>
      </c>
      <c r="J29" s="48"/>
      <c r="K29" s="48" t="s">
        <v>48</v>
      </c>
      <c r="L29" s="48"/>
      <c r="M29" s="48" t="s">
        <v>31</v>
      </c>
      <c r="N29" s="48" t="s">
        <v>49</v>
      </c>
      <c r="O29" s="48" t="s">
        <v>50</v>
      </c>
      <c r="P29" s="48" t="s">
        <v>230</v>
      </c>
      <c r="Q29" s="48" t="s">
        <v>77</v>
      </c>
      <c r="R29" s="48" t="s">
        <v>231</v>
      </c>
      <c r="S29" s="48" t="s">
        <v>67</v>
      </c>
      <c r="T29" s="48" t="s">
        <v>232</v>
      </c>
      <c r="U29" s="28" t="s">
        <v>1194</v>
      </c>
      <c r="V29" s="20" t="s">
        <v>233</v>
      </c>
      <c r="W29" s="38" t="s">
        <v>1422</v>
      </c>
      <c r="X29" s="15" t="s">
        <v>1229</v>
      </c>
      <c r="Y29" t="s">
        <v>1147</v>
      </c>
      <c r="Z29" s="15" t="s">
        <v>1315</v>
      </c>
      <c r="AA29" s="15" t="s">
        <v>1427</v>
      </c>
      <c r="AB29" s="15" t="s">
        <v>1429</v>
      </c>
    </row>
    <row r="30" spans="1:28" ht="72" customHeight="1" x14ac:dyDescent="0.25">
      <c r="A30" s="48" t="s">
        <v>234</v>
      </c>
      <c r="B30" s="2" t="s">
        <v>23</v>
      </c>
      <c r="C30" s="48" t="s">
        <v>235</v>
      </c>
      <c r="D30" s="48" t="s">
        <v>236</v>
      </c>
      <c r="E30" s="52">
        <v>2025</v>
      </c>
      <c r="F30" s="26" t="s">
        <v>26</v>
      </c>
      <c r="G30" s="48" t="s">
        <v>237</v>
      </c>
      <c r="H30" s="48" t="str">
        <f t="shared" si="0"/>
        <v>RO1   RO4 RO5</v>
      </c>
      <c r="I30" s="48" t="s">
        <v>28</v>
      </c>
      <c r="J30" s="48"/>
      <c r="K30" s="48"/>
      <c r="L30" s="48" t="s">
        <v>30</v>
      </c>
      <c r="M30" s="48" t="s">
        <v>31</v>
      </c>
      <c r="N30" s="48" t="s">
        <v>63</v>
      </c>
      <c r="O30" s="48" t="s">
        <v>63</v>
      </c>
      <c r="P30" s="48" t="s">
        <v>238</v>
      </c>
      <c r="Q30" s="48" t="s">
        <v>239</v>
      </c>
      <c r="R30" s="48" t="s">
        <v>240</v>
      </c>
      <c r="S30" s="48" t="s">
        <v>241</v>
      </c>
      <c r="T30" s="48" t="s">
        <v>242</v>
      </c>
      <c r="U30" s="25" t="s">
        <v>1191</v>
      </c>
      <c r="V30" s="61" t="s">
        <v>243</v>
      </c>
      <c r="W30" s="38" t="s">
        <v>1422</v>
      </c>
      <c r="X30" s="15" t="s">
        <v>1229</v>
      </c>
      <c r="Y30" s="15" t="s">
        <v>1143</v>
      </c>
      <c r="Z30" s="15" t="s">
        <v>1316</v>
      </c>
      <c r="AA30" s="15" t="s">
        <v>1427</v>
      </c>
      <c r="AB30" s="15" t="s">
        <v>1429</v>
      </c>
    </row>
    <row r="31" spans="1:28" ht="74" customHeight="1" x14ac:dyDescent="0.25">
      <c r="A31" s="48" t="s">
        <v>244</v>
      </c>
      <c r="B31" s="7" t="s">
        <v>72</v>
      </c>
      <c r="C31" s="48" t="s">
        <v>245</v>
      </c>
      <c r="D31" s="48" t="s">
        <v>1271</v>
      </c>
      <c r="E31" s="52" t="s">
        <v>45</v>
      </c>
      <c r="F31" s="3" t="s">
        <v>1270</v>
      </c>
      <c r="G31" s="48" t="s">
        <v>61</v>
      </c>
      <c r="H31" s="48" t="str">
        <f t="shared" si="0"/>
        <v xml:space="preserve"> RO2   </v>
      </c>
      <c r="I31" s="48"/>
      <c r="J31" s="48" t="s">
        <v>29</v>
      </c>
      <c r="K31" s="48"/>
      <c r="L31" s="48"/>
      <c r="M31" s="48"/>
      <c r="N31" s="48" t="s">
        <v>74</v>
      </c>
      <c r="O31" s="48" t="s">
        <v>63</v>
      </c>
      <c r="P31" s="48" t="s">
        <v>51</v>
      </c>
      <c r="Q31" s="48" t="s">
        <v>107</v>
      </c>
      <c r="R31" s="48" t="s">
        <v>246</v>
      </c>
      <c r="S31" s="48" t="s">
        <v>247</v>
      </c>
      <c r="T31" s="48" t="s">
        <v>248</v>
      </c>
      <c r="U31" s="33" t="s">
        <v>1208</v>
      </c>
      <c r="V31" s="61" t="s">
        <v>249</v>
      </c>
      <c r="W31" s="38" t="s">
        <v>1422</v>
      </c>
      <c r="X31" s="15" t="s">
        <v>1230</v>
      </c>
      <c r="Y31" s="15" t="s">
        <v>1393</v>
      </c>
      <c r="Z31" s="15" t="s">
        <v>1332</v>
      </c>
      <c r="AA31" s="38" t="s">
        <v>1425</v>
      </c>
      <c r="AB31" s="38" t="s">
        <v>1428</v>
      </c>
    </row>
    <row r="32" spans="1:28" ht="45" customHeight="1" x14ac:dyDescent="0.25">
      <c r="A32" s="49" t="s">
        <v>250</v>
      </c>
      <c r="B32" s="2" t="s">
        <v>23</v>
      </c>
      <c r="C32" s="48" t="s">
        <v>251</v>
      </c>
      <c r="D32" s="48" t="s">
        <v>252</v>
      </c>
      <c r="E32" s="52" t="s">
        <v>60</v>
      </c>
      <c r="F32" s="3" t="s">
        <v>84</v>
      </c>
      <c r="G32" s="48" t="s">
        <v>229</v>
      </c>
      <c r="H32" s="48" t="str">
        <f t="shared" si="0"/>
        <v>RO1   RO4 RO5</v>
      </c>
      <c r="I32" s="48" t="s">
        <v>28</v>
      </c>
      <c r="J32" s="48"/>
      <c r="K32" s="48"/>
      <c r="L32" s="48" t="s">
        <v>30</v>
      </c>
      <c r="M32" s="48" t="s">
        <v>31</v>
      </c>
      <c r="N32" s="48" t="s">
        <v>49</v>
      </c>
      <c r="O32" s="48" t="s">
        <v>50</v>
      </c>
      <c r="P32" s="48" t="s">
        <v>230</v>
      </c>
      <c r="Q32" s="48" t="s">
        <v>253</v>
      </c>
      <c r="R32" s="48" t="s">
        <v>254</v>
      </c>
      <c r="S32" s="48" t="s">
        <v>67</v>
      </c>
      <c r="T32" s="48" t="s">
        <v>255</v>
      </c>
      <c r="U32" s="25" t="s">
        <v>196</v>
      </c>
      <c r="V32" s="15" t="s">
        <v>256</v>
      </c>
      <c r="W32" s="38" t="s">
        <v>1422</v>
      </c>
      <c r="X32" s="15" t="s">
        <v>1229</v>
      </c>
      <c r="Y32" t="s">
        <v>1147</v>
      </c>
      <c r="Z32" s="15" t="s">
        <v>1317</v>
      </c>
      <c r="AA32" s="15" t="s">
        <v>1427</v>
      </c>
      <c r="AB32" s="15" t="s">
        <v>1429</v>
      </c>
    </row>
    <row r="33" spans="1:28" ht="45" customHeight="1" x14ac:dyDescent="0.25">
      <c r="A33" s="48" t="s">
        <v>257</v>
      </c>
      <c r="B33" s="7" t="s">
        <v>72</v>
      </c>
      <c r="C33" s="48" t="s">
        <v>258</v>
      </c>
      <c r="D33" s="48" t="s">
        <v>259</v>
      </c>
      <c r="E33" s="52" t="s">
        <v>45</v>
      </c>
      <c r="F33" s="3" t="s">
        <v>260</v>
      </c>
      <c r="G33" s="48" t="s">
        <v>131</v>
      </c>
      <c r="H33" s="48" t="str">
        <f t="shared" si="0"/>
        <v xml:space="preserve">  RO3  </v>
      </c>
      <c r="I33" s="48"/>
      <c r="J33" s="48"/>
      <c r="K33" s="48" t="s">
        <v>48</v>
      </c>
      <c r="L33" s="48"/>
      <c r="M33" s="48"/>
      <c r="N33" s="48" t="s">
        <v>261</v>
      </c>
      <c r="O33" s="48" t="s">
        <v>50</v>
      </c>
      <c r="P33" s="48" t="s">
        <v>51</v>
      </c>
      <c r="Q33" s="48" t="s">
        <v>77</v>
      </c>
      <c r="R33" s="48" t="s">
        <v>262</v>
      </c>
      <c r="S33" s="48" t="s">
        <v>67</v>
      </c>
      <c r="T33" s="48" t="s">
        <v>263</v>
      </c>
      <c r="U33" s="25" t="s">
        <v>141</v>
      </c>
      <c r="V33" s="15" t="s">
        <v>264</v>
      </c>
      <c r="W33" s="38" t="s">
        <v>1422</v>
      </c>
      <c r="X33" s="15" t="s">
        <v>1229</v>
      </c>
      <c r="Y33" t="s">
        <v>1147</v>
      </c>
      <c r="Z33" s="15" t="s">
        <v>1365</v>
      </c>
      <c r="AA33" s="38" t="s">
        <v>1425</v>
      </c>
      <c r="AB33" s="38" t="s">
        <v>1428</v>
      </c>
    </row>
    <row r="34" spans="1:28" ht="45" customHeight="1" x14ac:dyDescent="0.25">
      <c r="A34" s="48" t="s">
        <v>265</v>
      </c>
      <c r="B34" s="12" t="s">
        <v>1163</v>
      </c>
      <c r="C34" s="48" t="s">
        <v>266</v>
      </c>
      <c r="D34" s="48" t="s">
        <v>267</v>
      </c>
      <c r="E34" s="52" t="s">
        <v>45</v>
      </c>
      <c r="F34" s="3" t="s">
        <v>26</v>
      </c>
      <c r="G34" s="48" t="s">
        <v>61</v>
      </c>
      <c r="H34" s="48" t="str">
        <f t="shared" si="0"/>
        <v xml:space="preserve">RO1    </v>
      </c>
      <c r="I34" s="48" t="s">
        <v>28</v>
      </c>
      <c r="J34" s="48"/>
      <c r="K34" s="48"/>
      <c r="L34" s="48"/>
      <c r="M34" s="48"/>
      <c r="N34" s="48" t="s">
        <v>268</v>
      </c>
      <c r="O34" s="48" t="s">
        <v>63</v>
      </c>
      <c r="P34" s="48" t="s">
        <v>269</v>
      </c>
      <c r="Q34" s="48" t="s">
        <v>270</v>
      </c>
      <c r="R34" s="48" t="s">
        <v>271</v>
      </c>
      <c r="S34" s="48" t="s">
        <v>67</v>
      </c>
      <c r="T34" s="48" t="s">
        <v>272</v>
      </c>
      <c r="U34" s="34" t="s">
        <v>141</v>
      </c>
      <c r="V34" s="15" t="s">
        <v>273</v>
      </c>
      <c r="W34" s="38" t="s">
        <v>1422</v>
      </c>
      <c r="X34" s="15" t="s">
        <v>1229</v>
      </c>
      <c r="Y34" t="s">
        <v>1147</v>
      </c>
      <c r="Z34" s="15" t="s">
        <v>1283</v>
      </c>
      <c r="AA34" s="38" t="s">
        <v>1425</v>
      </c>
      <c r="AB34" s="38" t="s">
        <v>1428</v>
      </c>
    </row>
    <row r="35" spans="1:28" ht="45" customHeight="1" x14ac:dyDescent="0.25">
      <c r="A35" s="48" t="s">
        <v>274</v>
      </c>
      <c r="B35" s="12" t="s">
        <v>1163</v>
      </c>
      <c r="C35" s="48" t="s">
        <v>275</v>
      </c>
      <c r="D35" s="48" t="s">
        <v>1511</v>
      </c>
      <c r="E35" s="52" t="s">
        <v>60</v>
      </c>
      <c r="F35" s="3" t="s">
        <v>26</v>
      </c>
      <c r="G35" s="48" t="s">
        <v>61</v>
      </c>
      <c r="H35" s="48" t="str">
        <f t="shared" ref="H35:H66" si="1">I35&amp;" "&amp;J35&amp;" "&amp;K35&amp;" "&amp;L35&amp;" "&amp;M35</f>
        <v xml:space="preserve">RO1    </v>
      </c>
      <c r="I35" s="48" t="s">
        <v>28</v>
      </c>
      <c r="J35" s="48"/>
      <c r="K35" s="48"/>
      <c r="L35" s="48"/>
      <c r="M35" s="48"/>
      <c r="N35" s="48" t="s">
        <v>63</v>
      </c>
      <c r="O35" s="48" t="s">
        <v>63</v>
      </c>
      <c r="P35" s="48" t="s">
        <v>269</v>
      </c>
      <c r="Q35" s="48" t="s">
        <v>77</v>
      </c>
      <c r="R35" s="48" t="s">
        <v>276</v>
      </c>
      <c r="S35" s="48" t="s">
        <v>67</v>
      </c>
      <c r="T35" s="48" t="s">
        <v>277</v>
      </c>
      <c r="U35" s="34" t="s">
        <v>141</v>
      </c>
      <c r="V35" s="15" t="s">
        <v>278</v>
      </c>
      <c r="W35" s="38" t="s">
        <v>1422</v>
      </c>
      <c r="X35" s="15" t="s">
        <v>1229</v>
      </c>
      <c r="Y35" t="s">
        <v>1147</v>
      </c>
      <c r="Z35" s="15" t="s">
        <v>1284</v>
      </c>
      <c r="AA35" s="38" t="s">
        <v>1425</v>
      </c>
      <c r="AB35" s="38" t="s">
        <v>1428</v>
      </c>
    </row>
    <row r="36" spans="1:28" ht="45" customHeight="1" x14ac:dyDescent="0.25">
      <c r="A36" s="48" t="s">
        <v>279</v>
      </c>
      <c r="B36" s="12" t="s">
        <v>1163</v>
      </c>
      <c r="C36" s="48" t="s">
        <v>280</v>
      </c>
      <c r="D36" s="48" t="s">
        <v>281</v>
      </c>
      <c r="E36" s="52" t="s">
        <v>45</v>
      </c>
      <c r="F36" s="4" t="s">
        <v>84</v>
      </c>
      <c r="G36" s="48" t="s">
        <v>230</v>
      </c>
      <c r="H36" s="48" t="str">
        <f t="shared" si="1"/>
        <v xml:space="preserve">RO1 RO2   </v>
      </c>
      <c r="I36" s="48" t="s">
        <v>28</v>
      </c>
      <c r="J36" s="48" t="s">
        <v>29</v>
      </c>
      <c r="K36" s="48"/>
      <c r="L36" s="48"/>
      <c r="M36" s="48"/>
      <c r="N36" s="48" t="s">
        <v>1268</v>
      </c>
      <c r="O36" s="48" t="s">
        <v>50</v>
      </c>
      <c r="P36" s="48" t="s">
        <v>230</v>
      </c>
      <c r="Q36" s="48" t="s">
        <v>282</v>
      </c>
      <c r="R36" s="48" t="s">
        <v>283</v>
      </c>
      <c r="S36" s="48" t="s">
        <v>67</v>
      </c>
      <c r="T36" s="48" t="s">
        <v>284</v>
      </c>
      <c r="U36" s="28" t="s">
        <v>1208</v>
      </c>
      <c r="V36" s="15" t="s">
        <v>285</v>
      </c>
      <c r="W36" s="15" t="s">
        <v>1226</v>
      </c>
      <c r="X36" s="15" t="s">
        <v>1230</v>
      </c>
      <c r="Y36" s="38" t="s">
        <v>1147</v>
      </c>
      <c r="Z36" s="15" t="s">
        <v>1300</v>
      </c>
      <c r="AA36" s="38" t="s">
        <v>1425</v>
      </c>
      <c r="AB36" s="38" t="s">
        <v>1428</v>
      </c>
    </row>
    <row r="37" spans="1:28" ht="45" customHeight="1" x14ac:dyDescent="0.25">
      <c r="A37" s="48" t="s">
        <v>286</v>
      </c>
      <c r="B37" s="12" t="s">
        <v>1163</v>
      </c>
      <c r="C37" s="48" t="s">
        <v>287</v>
      </c>
      <c r="D37" s="48" t="s">
        <v>288</v>
      </c>
      <c r="E37" s="52" t="s">
        <v>60</v>
      </c>
      <c r="F37" s="3" t="s">
        <v>1202</v>
      </c>
      <c r="G37" s="48" t="s">
        <v>61</v>
      </c>
      <c r="H37" s="48" t="str">
        <f t="shared" si="1"/>
        <v xml:space="preserve">RO1    </v>
      </c>
      <c r="I37" s="48" t="s">
        <v>28</v>
      </c>
      <c r="J37" s="48"/>
      <c r="K37" s="48"/>
      <c r="L37" s="48"/>
      <c r="M37" s="48"/>
      <c r="N37" s="48" t="s">
        <v>289</v>
      </c>
      <c r="O37" s="48" t="s">
        <v>63</v>
      </c>
      <c r="P37" s="48" t="s">
        <v>213</v>
      </c>
      <c r="Q37" s="48" t="s">
        <v>52</v>
      </c>
      <c r="R37" s="48" t="s">
        <v>290</v>
      </c>
      <c r="S37" s="48" t="s">
        <v>67</v>
      </c>
      <c r="T37" s="48" t="s">
        <v>291</v>
      </c>
      <c r="U37" s="28" t="s">
        <v>1208</v>
      </c>
      <c r="V37" s="15" t="s">
        <v>292</v>
      </c>
      <c r="W37" s="38" t="s">
        <v>1422</v>
      </c>
      <c r="X37" s="15" t="s">
        <v>1230</v>
      </c>
      <c r="Y37" s="38" t="s">
        <v>1147</v>
      </c>
      <c r="Z37" s="15" t="s">
        <v>1285</v>
      </c>
      <c r="AA37" s="38" t="s">
        <v>1425</v>
      </c>
      <c r="AB37" s="38" t="s">
        <v>1428</v>
      </c>
    </row>
    <row r="38" spans="1:28" ht="45" customHeight="1" x14ac:dyDescent="0.25">
      <c r="A38" s="48" t="s">
        <v>293</v>
      </c>
      <c r="B38" s="6" t="s">
        <v>42</v>
      </c>
      <c r="C38" s="48" t="s">
        <v>294</v>
      </c>
      <c r="D38" s="48" t="s">
        <v>295</v>
      </c>
      <c r="E38" s="52" t="s">
        <v>45</v>
      </c>
      <c r="F38" s="3" t="s">
        <v>26</v>
      </c>
      <c r="G38" s="48" t="s">
        <v>61</v>
      </c>
      <c r="H38" s="48" t="str">
        <f t="shared" si="1"/>
        <v xml:space="preserve">RO1   RO4 </v>
      </c>
      <c r="I38" s="48" t="s">
        <v>28</v>
      </c>
      <c r="J38" s="48"/>
      <c r="K38" s="48"/>
      <c r="L38" s="48" t="s">
        <v>30</v>
      </c>
      <c r="M38" s="48"/>
      <c r="N38" s="48" t="s">
        <v>296</v>
      </c>
      <c r="O38" s="48" t="s">
        <v>63</v>
      </c>
      <c r="P38" s="48" t="s">
        <v>51</v>
      </c>
      <c r="Q38" s="48" t="s">
        <v>107</v>
      </c>
      <c r="R38" s="48" t="s">
        <v>297</v>
      </c>
      <c r="S38" s="48" t="s">
        <v>67</v>
      </c>
      <c r="T38" s="48" t="s">
        <v>298</v>
      </c>
      <c r="U38" s="25" t="s">
        <v>141</v>
      </c>
      <c r="V38" s="22" t="s">
        <v>299</v>
      </c>
      <c r="W38" s="38" t="s">
        <v>1422</v>
      </c>
      <c r="X38" s="15" t="s">
        <v>1229</v>
      </c>
      <c r="Y38" t="s">
        <v>1147</v>
      </c>
      <c r="Z38" s="15" t="s">
        <v>1248</v>
      </c>
      <c r="AA38" s="15" t="s">
        <v>1427</v>
      </c>
      <c r="AB38" s="15" t="s">
        <v>1429</v>
      </c>
    </row>
    <row r="39" spans="1:28" ht="45" customHeight="1" x14ac:dyDescent="0.25">
      <c r="A39" s="48" t="s">
        <v>300</v>
      </c>
      <c r="B39" s="6" t="s">
        <v>42</v>
      </c>
      <c r="C39" s="48" t="s">
        <v>301</v>
      </c>
      <c r="D39" s="48" t="s">
        <v>302</v>
      </c>
      <c r="E39" s="52" t="s">
        <v>303</v>
      </c>
      <c r="F39" s="5" t="s">
        <v>26</v>
      </c>
      <c r="G39" s="48" t="s">
        <v>304</v>
      </c>
      <c r="H39" s="48" t="str">
        <f t="shared" si="1"/>
        <v xml:space="preserve">RO1 RO2   </v>
      </c>
      <c r="I39" s="48" t="s">
        <v>28</v>
      </c>
      <c r="J39" s="48" t="s">
        <v>29</v>
      </c>
      <c r="K39" s="48"/>
      <c r="L39" s="48"/>
      <c r="M39" s="48"/>
      <c r="N39" s="48" t="s">
        <v>63</v>
      </c>
      <c r="O39" s="48" t="s">
        <v>63</v>
      </c>
      <c r="P39" s="48" t="s">
        <v>305</v>
      </c>
      <c r="Q39" s="48" t="s">
        <v>306</v>
      </c>
      <c r="R39" s="48" t="s">
        <v>307</v>
      </c>
      <c r="S39" s="48" t="s">
        <v>308</v>
      </c>
      <c r="T39" s="48" t="s">
        <v>309</v>
      </c>
      <c r="U39" s="25" t="s">
        <v>310</v>
      </c>
      <c r="V39" s="15" t="s">
        <v>311</v>
      </c>
      <c r="W39" s="38" t="s">
        <v>1422</v>
      </c>
      <c r="X39" s="15" t="s">
        <v>1229</v>
      </c>
      <c r="Y39" t="s">
        <v>1147</v>
      </c>
      <c r="Z39" s="15" t="s">
        <v>1249</v>
      </c>
      <c r="AA39" s="15" t="s">
        <v>1427</v>
      </c>
      <c r="AB39" s="15" t="s">
        <v>1429</v>
      </c>
    </row>
    <row r="40" spans="1:28" ht="45" customHeight="1" x14ac:dyDescent="0.25">
      <c r="A40" s="48" t="s">
        <v>312</v>
      </c>
      <c r="B40" s="6" t="s">
        <v>42</v>
      </c>
      <c r="C40" s="48" t="s">
        <v>313</v>
      </c>
      <c r="D40" s="48" t="s">
        <v>314</v>
      </c>
      <c r="E40" s="52" t="s">
        <v>60</v>
      </c>
      <c r="F40" s="5" t="s">
        <v>26</v>
      </c>
      <c r="G40" s="48" t="s">
        <v>304</v>
      </c>
      <c r="H40" s="48" t="str">
        <f t="shared" si="1"/>
        <v xml:space="preserve">RO1 RO2   </v>
      </c>
      <c r="I40" s="48" t="s">
        <v>28</v>
      </c>
      <c r="J40" s="48" t="s">
        <v>29</v>
      </c>
      <c r="K40" s="48"/>
      <c r="L40" s="48"/>
      <c r="M40" s="48"/>
      <c r="N40" s="48" t="s">
        <v>63</v>
      </c>
      <c r="O40" s="48" t="s">
        <v>63</v>
      </c>
      <c r="P40" s="48" t="s">
        <v>305</v>
      </c>
      <c r="Q40" s="48" t="s">
        <v>315</v>
      </c>
      <c r="R40" s="48" t="s">
        <v>316</v>
      </c>
      <c r="S40" s="48" t="s">
        <v>308</v>
      </c>
      <c r="T40" s="48" t="s">
        <v>317</v>
      </c>
      <c r="U40" s="25" t="s">
        <v>310</v>
      </c>
      <c r="V40" s="15" t="s">
        <v>318</v>
      </c>
      <c r="W40" s="38" t="s">
        <v>1422</v>
      </c>
      <c r="X40" s="15" t="s">
        <v>1229</v>
      </c>
      <c r="Y40" t="s">
        <v>1147</v>
      </c>
      <c r="Z40" s="15" t="s">
        <v>1250</v>
      </c>
      <c r="AA40" s="15" t="s">
        <v>1427</v>
      </c>
      <c r="AB40" s="15" t="s">
        <v>1429</v>
      </c>
    </row>
    <row r="41" spans="1:28" ht="45" customHeight="1" x14ac:dyDescent="0.25">
      <c r="A41" s="48" t="s">
        <v>319</v>
      </c>
      <c r="B41" s="7" t="s">
        <v>72</v>
      </c>
      <c r="C41" s="48" t="s">
        <v>320</v>
      </c>
      <c r="D41" s="48" t="s">
        <v>321</v>
      </c>
      <c r="E41" s="52" t="s">
        <v>60</v>
      </c>
      <c r="F41" s="5" t="s">
        <v>26</v>
      </c>
      <c r="G41" s="48" t="s">
        <v>304</v>
      </c>
      <c r="H41" s="48" t="str">
        <f t="shared" si="1"/>
        <v xml:space="preserve"> RO2   </v>
      </c>
      <c r="I41" s="48"/>
      <c r="J41" s="48" t="s">
        <v>29</v>
      </c>
      <c r="K41" s="48"/>
      <c r="L41" s="48"/>
      <c r="M41" s="48"/>
      <c r="N41" s="48" t="s">
        <v>75</v>
      </c>
      <c r="O41" s="48" t="s">
        <v>50</v>
      </c>
      <c r="P41" s="48" t="s">
        <v>322</v>
      </c>
      <c r="Q41" s="48" t="s">
        <v>323</v>
      </c>
      <c r="R41" s="48" t="s">
        <v>324</v>
      </c>
      <c r="S41" s="48" t="s">
        <v>67</v>
      </c>
      <c r="T41" s="48" t="s">
        <v>325</v>
      </c>
      <c r="U41" s="25" t="s">
        <v>310</v>
      </c>
      <c r="V41" s="15" t="s">
        <v>326</v>
      </c>
      <c r="W41" s="38" t="s">
        <v>1422</v>
      </c>
      <c r="X41" s="15" t="s">
        <v>1229</v>
      </c>
      <c r="Y41" t="s">
        <v>1147</v>
      </c>
      <c r="Z41" s="15" t="s">
        <v>1333</v>
      </c>
      <c r="AA41" s="15" t="s">
        <v>1427</v>
      </c>
      <c r="AB41" s="15" t="s">
        <v>1429</v>
      </c>
    </row>
    <row r="42" spans="1:28" ht="45" customHeight="1" x14ac:dyDescent="0.25">
      <c r="A42" s="48" t="s">
        <v>327</v>
      </c>
      <c r="B42" s="6" t="s">
        <v>42</v>
      </c>
      <c r="C42" s="48" t="s">
        <v>328</v>
      </c>
      <c r="D42" s="48" t="s">
        <v>329</v>
      </c>
      <c r="E42" s="52" t="s">
        <v>60</v>
      </c>
      <c r="F42" s="5" t="s">
        <v>330</v>
      </c>
      <c r="G42" s="48" t="s">
        <v>304</v>
      </c>
      <c r="H42" s="48" t="str">
        <f t="shared" si="1"/>
        <v xml:space="preserve">RO1 RO2   </v>
      </c>
      <c r="I42" s="48" t="s">
        <v>28</v>
      </c>
      <c r="J42" s="48" t="s">
        <v>29</v>
      </c>
      <c r="K42" s="48"/>
      <c r="L42" s="48"/>
      <c r="M42" s="48"/>
      <c r="N42" s="48" t="s">
        <v>63</v>
      </c>
      <c r="O42" s="48" t="s">
        <v>63</v>
      </c>
      <c r="P42" s="48" t="s">
        <v>305</v>
      </c>
      <c r="Q42" s="48" t="s">
        <v>306</v>
      </c>
      <c r="R42" s="48" t="s">
        <v>331</v>
      </c>
      <c r="S42" s="48" t="s">
        <v>308</v>
      </c>
      <c r="T42" s="48" t="s">
        <v>332</v>
      </c>
      <c r="U42" s="25" t="s">
        <v>1175</v>
      </c>
      <c r="V42" s="15" t="s">
        <v>333</v>
      </c>
      <c r="W42" s="38" t="s">
        <v>1422</v>
      </c>
      <c r="X42" s="15" t="s">
        <v>1229</v>
      </c>
      <c r="Y42" s="15" t="s">
        <v>1146</v>
      </c>
      <c r="Z42" s="15" t="s">
        <v>1251</v>
      </c>
      <c r="AA42" s="15" t="s">
        <v>1427</v>
      </c>
      <c r="AB42" s="15" t="s">
        <v>1429</v>
      </c>
    </row>
    <row r="43" spans="1:28" ht="45" customHeight="1" x14ac:dyDescent="0.25">
      <c r="A43" s="48" t="s">
        <v>334</v>
      </c>
      <c r="B43" s="7" t="s">
        <v>72</v>
      </c>
      <c r="C43" s="48" t="s">
        <v>335</v>
      </c>
      <c r="D43" s="48" t="s">
        <v>1272</v>
      </c>
      <c r="E43" s="52" t="s">
        <v>303</v>
      </c>
      <c r="F43" s="5" t="s">
        <v>26</v>
      </c>
      <c r="G43" s="48" t="s">
        <v>304</v>
      </c>
      <c r="H43" s="48" t="str">
        <f t="shared" si="1"/>
        <v xml:space="preserve"> RO2   </v>
      </c>
      <c r="I43" s="48"/>
      <c r="J43" s="48" t="s">
        <v>29</v>
      </c>
      <c r="K43" s="48"/>
      <c r="L43" s="48"/>
      <c r="M43" s="48"/>
      <c r="N43" s="48" t="s">
        <v>336</v>
      </c>
      <c r="O43" s="48" t="s">
        <v>63</v>
      </c>
      <c r="P43" s="48" t="s">
        <v>337</v>
      </c>
      <c r="Q43" s="48" t="s">
        <v>338</v>
      </c>
      <c r="R43" s="48" t="s">
        <v>339</v>
      </c>
      <c r="S43" s="48" t="s">
        <v>67</v>
      </c>
      <c r="T43" s="48" t="s">
        <v>340</v>
      </c>
      <c r="U43" s="25" t="s">
        <v>310</v>
      </c>
      <c r="V43" s="61" t="s">
        <v>341</v>
      </c>
      <c r="W43" s="38" t="s">
        <v>1422</v>
      </c>
      <c r="X43" s="15" t="s">
        <v>1229</v>
      </c>
      <c r="Y43" t="s">
        <v>1147</v>
      </c>
      <c r="Z43" s="15" t="s">
        <v>1334</v>
      </c>
      <c r="AA43" s="15" t="s">
        <v>1427</v>
      </c>
      <c r="AB43" s="15" t="s">
        <v>1429</v>
      </c>
    </row>
    <row r="44" spans="1:28" ht="45" customHeight="1" x14ac:dyDescent="0.25">
      <c r="A44" s="48" t="s">
        <v>342</v>
      </c>
      <c r="B44" s="7" t="s">
        <v>72</v>
      </c>
      <c r="C44" s="48" t="s">
        <v>343</v>
      </c>
      <c r="D44" s="48" t="s">
        <v>344</v>
      </c>
      <c r="E44" s="52" t="s">
        <v>60</v>
      </c>
      <c r="F44" s="5" t="s">
        <v>46</v>
      </c>
      <c r="G44" s="48" t="s">
        <v>345</v>
      </c>
      <c r="H44" s="48" t="str">
        <f t="shared" si="1"/>
        <v xml:space="preserve"> RO2   </v>
      </c>
      <c r="I44" s="48"/>
      <c r="J44" s="48" t="s">
        <v>29</v>
      </c>
      <c r="K44" s="48"/>
      <c r="L44" s="48"/>
      <c r="M44" s="48"/>
      <c r="N44" s="48" t="s">
        <v>49</v>
      </c>
      <c r="O44" s="48" t="s">
        <v>50</v>
      </c>
      <c r="P44" s="48" t="s">
        <v>346</v>
      </c>
      <c r="Q44" s="48" t="s">
        <v>323</v>
      </c>
      <c r="R44" s="48" t="s">
        <v>347</v>
      </c>
      <c r="S44" s="48" t="s">
        <v>67</v>
      </c>
      <c r="T44" s="48" t="s">
        <v>348</v>
      </c>
      <c r="U44" s="33" t="s">
        <v>1208</v>
      </c>
      <c r="V44" s="15" t="s">
        <v>349</v>
      </c>
      <c r="W44" s="38" t="s">
        <v>1422</v>
      </c>
      <c r="X44" s="15" t="s">
        <v>1230</v>
      </c>
      <c r="Y44" s="38" t="s">
        <v>1394</v>
      </c>
      <c r="Z44" s="15" t="s">
        <v>1335</v>
      </c>
      <c r="AA44" s="15" t="s">
        <v>1427</v>
      </c>
      <c r="AB44" s="15" t="s">
        <v>1429</v>
      </c>
    </row>
    <row r="45" spans="1:28" ht="45" customHeight="1" x14ac:dyDescent="0.25">
      <c r="A45" s="48" t="s">
        <v>350</v>
      </c>
      <c r="B45" s="7" t="s">
        <v>72</v>
      </c>
      <c r="C45" s="48" t="s">
        <v>351</v>
      </c>
      <c r="D45" s="48" t="s">
        <v>352</v>
      </c>
      <c r="E45" s="52" t="s">
        <v>60</v>
      </c>
      <c r="F45" s="5" t="s">
        <v>46</v>
      </c>
      <c r="G45" s="48" t="s">
        <v>345</v>
      </c>
      <c r="H45" s="48" t="str">
        <f t="shared" si="1"/>
        <v xml:space="preserve"> RO2   </v>
      </c>
      <c r="I45" s="48"/>
      <c r="J45" s="48" t="s">
        <v>29</v>
      </c>
      <c r="K45" s="48"/>
      <c r="L45" s="48"/>
      <c r="M45" s="48"/>
      <c r="N45" s="48" t="s">
        <v>160</v>
      </c>
      <c r="O45" s="48" t="s">
        <v>63</v>
      </c>
      <c r="P45" s="48" t="s">
        <v>346</v>
      </c>
      <c r="Q45" s="48" t="s">
        <v>323</v>
      </c>
      <c r="R45" s="48" t="s">
        <v>353</v>
      </c>
      <c r="S45" s="48" t="s">
        <v>67</v>
      </c>
      <c r="T45" s="48" t="s">
        <v>354</v>
      </c>
      <c r="U45" s="33" t="s">
        <v>1208</v>
      </c>
      <c r="V45" s="15" t="s">
        <v>355</v>
      </c>
      <c r="W45" s="38" t="s">
        <v>1422</v>
      </c>
      <c r="X45" s="15" t="s">
        <v>1230</v>
      </c>
      <c r="Y45" s="15" t="s">
        <v>1395</v>
      </c>
      <c r="Z45" s="15" t="s">
        <v>1336</v>
      </c>
      <c r="AA45" s="38" t="s">
        <v>1425</v>
      </c>
      <c r="AB45" s="38" t="s">
        <v>1428</v>
      </c>
    </row>
    <row r="46" spans="1:28" ht="45" customHeight="1" x14ac:dyDescent="0.25">
      <c r="A46" s="50" t="s">
        <v>356</v>
      </c>
      <c r="B46" s="7" t="s">
        <v>72</v>
      </c>
      <c r="C46" s="48" t="s">
        <v>357</v>
      </c>
      <c r="D46" s="48" t="s">
        <v>358</v>
      </c>
      <c r="E46" s="52" t="s">
        <v>60</v>
      </c>
      <c r="F46" s="5" t="s">
        <v>46</v>
      </c>
      <c r="G46" s="48" t="s">
        <v>345</v>
      </c>
      <c r="H46" s="48" t="str">
        <f t="shared" si="1"/>
        <v xml:space="preserve"> RO2   </v>
      </c>
      <c r="I46" s="48"/>
      <c r="J46" s="48" t="s">
        <v>29</v>
      </c>
      <c r="K46" s="48"/>
      <c r="L46" s="48"/>
      <c r="M46" s="48"/>
      <c r="N46" s="48" t="s">
        <v>359</v>
      </c>
      <c r="O46" s="48" t="s">
        <v>50</v>
      </c>
      <c r="P46" s="48" t="s">
        <v>346</v>
      </c>
      <c r="Q46" s="48" t="s">
        <v>323</v>
      </c>
      <c r="R46" s="48" t="s">
        <v>360</v>
      </c>
      <c r="S46" s="48" t="s">
        <v>67</v>
      </c>
      <c r="T46" s="48" t="s">
        <v>361</v>
      </c>
      <c r="U46" s="25" t="s">
        <v>1197</v>
      </c>
      <c r="V46" s="15" t="s">
        <v>362</v>
      </c>
      <c r="W46" s="38" t="s">
        <v>1422</v>
      </c>
      <c r="X46" s="37" t="s">
        <v>1230</v>
      </c>
      <c r="Y46" s="37" t="s">
        <v>1173</v>
      </c>
      <c r="Z46" s="15" t="s">
        <v>1337</v>
      </c>
      <c r="AA46" s="15" t="s">
        <v>1427</v>
      </c>
      <c r="AB46" s="15" t="s">
        <v>1429</v>
      </c>
    </row>
    <row r="47" spans="1:28" ht="45" customHeight="1" x14ac:dyDescent="0.25">
      <c r="A47" s="48" t="s">
        <v>363</v>
      </c>
      <c r="B47" s="7" t="s">
        <v>72</v>
      </c>
      <c r="C47" s="48" t="s">
        <v>364</v>
      </c>
      <c r="D47" s="48" t="s">
        <v>365</v>
      </c>
      <c r="E47" s="52" t="s">
        <v>60</v>
      </c>
      <c r="F47" s="5" t="s">
        <v>26</v>
      </c>
      <c r="G47" s="48" t="s">
        <v>345</v>
      </c>
      <c r="H47" s="48" t="str">
        <f t="shared" si="1"/>
        <v xml:space="preserve"> RO2   </v>
      </c>
      <c r="I47" s="48"/>
      <c r="J47" s="48" t="s">
        <v>29</v>
      </c>
      <c r="K47" s="48"/>
      <c r="L47" s="48"/>
      <c r="M47" s="48"/>
      <c r="N47" s="48" t="s">
        <v>366</v>
      </c>
      <c r="O47" s="48" t="s">
        <v>63</v>
      </c>
      <c r="P47" s="48" t="s">
        <v>367</v>
      </c>
      <c r="Q47" s="48" t="s">
        <v>323</v>
      </c>
      <c r="R47" s="48" t="s">
        <v>368</v>
      </c>
      <c r="S47" s="48" t="s">
        <v>67</v>
      </c>
      <c r="T47" s="48" t="s">
        <v>369</v>
      </c>
      <c r="U47" s="25" t="s">
        <v>370</v>
      </c>
      <c r="V47" s="62" t="s">
        <v>371</v>
      </c>
      <c r="W47" s="38" t="s">
        <v>1422</v>
      </c>
      <c r="X47" s="15" t="s">
        <v>1229</v>
      </c>
      <c r="Y47" t="s">
        <v>1147</v>
      </c>
      <c r="Z47" s="15" t="s">
        <v>1338</v>
      </c>
      <c r="AA47" s="15" t="s">
        <v>1427</v>
      </c>
      <c r="AB47" s="15" t="s">
        <v>1429</v>
      </c>
    </row>
    <row r="48" spans="1:28" ht="45" customHeight="1" x14ac:dyDescent="0.25">
      <c r="A48" s="48" t="s">
        <v>372</v>
      </c>
      <c r="B48" s="7" t="s">
        <v>72</v>
      </c>
      <c r="C48" s="48" t="s">
        <v>373</v>
      </c>
      <c r="D48" s="48" t="s">
        <v>374</v>
      </c>
      <c r="E48" s="52" t="s">
        <v>60</v>
      </c>
      <c r="F48" s="5" t="s">
        <v>26</v>
      </c>
      <c r="G48" s="48" t="s">
        <v>345</v>
      </c>
      <c r="H48" s="48" t="str">
        <f t="shared" si="1"/>
        <v xml:space="preserve"> RO2   </v>
      </c>
      <c r="I48" s="48"/>
      <c r="J48" s="48" t="s">
        <v>29</v>
      </c>
      <c r="K48" s="48"/>
      <c r="L48" s="48"/>
      <c r="M48" s="48"/>
      <c r="N48" s="48" t="s">
        <v>75</v>
      </c>
      <c r="O48" s="48" t="s">
        <v>50</v>
      </c>
      <c r="P48" s="48" t="s">
        <v>346</v>
      </c>
      <c r="Q48" s="48" t="s">
        <v>323</v>
      </c>
      <c r="R48" s="48" t="s">
        <v>375</v>
      </c>
      <c r="S48" s="48" t="s">
        <v>67</v>
      </c>
      <c r="T48" s="48" t="s">
        <v>376</v>
      </c>
      <c r="U48" s="25" t="s">
        <v>370</v>
      </c>
      <c r="V48" s="15" t="s">
        <v>377</v>
      </c>
      <c r="W48" s="38" t="s">
        <v>1422</v>
      </c>
      <c r="X48" s="15" t="s">
        <v>1229</v>
      </c>
      <c r="Y48" t="s">
        <v>1147</v>
      </c>
      <c r="Z48" s="15" t="s">
        <v>1339</v>
      </c>
      <c r="AA48" s="15" t="s">
        <v>1427</v>
      </c>
      <c r="AB48" s="15" t="s">
        <v>1429</v>
      </c>
    </row>
    <row r="49" spans="1:28" ht="45" customHeight="1" x14ac:dyDescent="0.25">
      <c r="A49" s="48" t="s">
        <v>378</v>
      </c>
      <c r="B49" s="6" t="s">
        <v>42</v>
      </c>
      <c r="C49" s="48" t="s">
        <v>379</v>
      </c>
      <c r="D49" s="48" t="s">
        <v>380</v>
      </c>
      <c r="E49" s="52" t="s">
        <v>60</v>
      </c>
      <c r="F49" s="5" t="s">
        <v>1472</v>
      </c>
      <c r="G49" s="48" t="s">
        <v>381</v>
      </c>
      <c r="H49" s="48" t="str">
        <f t="shared" si="1"/>
        <v xml:space="preserve"> RO2  RO4 </v>
      </c>
      <c r="I49" s="48"/>
      <c r="J49" s="48" t="s">
        <v>29</v>
      </c>
      <c r="K49" s="48"/>
      <c r="L49" s="48" t="s">
        <v>30</v>
      </c>
      <c r="M49" s="48"/>
      <c r="N49" s="48" t="s">
        <v>1268</v>
      </c>
      <c r="O49" s="48" t="s">
        <v>50</v>
      </c>
      <c r="P49" s="48" t="s">
        <v>382</v>
      </c>
      <c r="Q49" s="48" t="s">
        <v>383</v>
      </c>
      <c r="R49" s="48" t="s">
        <v>384</v>
      </c>
      <c r="S49" s="48" t="s">
        <v>247</v>
      </c>
      <c r="T49" s="48" t="s">
        <v>385</v>
      </c>
      <c r="U49" s="25" t="s">
        <v>1198</v>
      </c>
      <c r="V49" s="15" t="s">
        <v>386</v>
      </c>
      <c r="W49" s="38" t="s">
        <v>1422</v>
      </c>
      <c r="X49" s="37" t="s">
        <v>1230</v>
      </c>
      <c r="Y49" s="37" t="s">
        <v>1173</v>
      </c>
      <c r="Z49" s="15" t="s">
        <v>1252</v>
      </c>
      <c r="AA49" s="15" t="s">
        <v>1427</v>
      </c>
      <c r="AB49" s="15" t="s">
        <v>1429</v>
      </c>
    </row>
    <row r="50" spans="1:28" ht="45" customHeight="1" x14ac:dyDescent="0.25">
      <c r="A50" s="48" t="s">
        <v>387</v>
      </c>
      <c r="B50" s="7" t="s">
        <v>72</v>
      </c>
      <c r="C50" s="48" t="s">
        <v>388</v>
      </c>
      <c r="D50" s="48" t="s">
        <v>389</v>
      </c>
      <c r="E50" s="52" t="s">
        <v>60</v>
      </c>
      <c r="F50" s="5" t="s">
        <v>26</v>
      </c>
      <c r="G50" s="48" t="s">
        <v>345</v>
      </c>
      <c r="H50" s="48" t="str">
        <f t="shared" si="1"/>
        <v xml:space="preserve"> RO2   </v>
      </c>
      <c r="I50" s="48"/>
      <c r="J50" s="48" t="s">
        <v>29</v>
      </c>
      <c r="K50" s="48"/>
      <c r="L50" s="48"/>
      <c r="M50" s="48"/>
      <c r="N50" s="48" t="s">
        <v>390</v>
      </c>
      <c r="O50" s="48" t="s">
        <v>63</v>
      </c>
      <c r="P50" s="48" t="s">
        <v>391</v>
      </c>
      <c r="Q50" s="48" t="s">
        <v>323</v>
      </c>
      <c r="R50" s="48" t="s">
        <v>392</v>
      </c>
      <c r="S50" s="48" t="s">
        <v>67</v>
      </c>
      <c r="T50" s="48" t="s">
        <v>393</v>
      </c>
      <c r="U50" s="25" t="s">
        <v>370</v>
      </c>
      <c r="V50" s="15" t="s">
        <v>394</v>
      </c>
      <c r="W50" s="38" t="s">
        <v>1422</v>
      </c>
      <c r="X50" s="15" t="s">
        <v>1229</v>
      </c>
      <c r="Y50" t="s">
        <v>1147</v>
      </c>
      <c r="Z50" s="15" t="s">
        <v>1340</v>
      </c>
      <c r="AA50" s="15" t="s">
        <v>1427</v>
      </c>
      <c r="AB50" s="15" t="s">
        <v>1429</v>
      </c>
    </row>
    <row r="51" spans="1:28" ht="45" customHeight="1" x14ac:dyDescent="0.25">
      <c r="A51" s="48" t="s">
        <v>395</v>
      </c>
      <c r="B51" s="7" t="s">
        <v>72</v>
      </c>
      <c r="C51" s="48" t="s">
        <v>396</v>
      </c>
      <c r="D51" s="48" t="s">
        <v>397</v>
      </c>
      <c r="E51" s="52" t="s">
        <v>45</v>
      </c>
      <c r="F51" s="5" t="s">
        <v>26</v>
      </c>
      <c r="G51" s="48" t="s">
        <v>345</v>
      </c>
      <c r="H51" s="48" t="str">
        <f t="shared" si="1"/>
        <v xml:space="preserve"> RO2   </v>
      </c>
      <c r="I51" s="48"/>
      <c r="J51" s="48" t="s">
        <v>29</v>
      </c>
      <c r="K51" s="48"/>
      <c r="L51" s="48"/>
      <c r="M51" s="48"/>
      <c r="N51" s="48" t="s">
        <v>296</v>
      </c>
      <c r="O51" s="48" t="s">
        <v>63</v>
      </c>
      <c r="P51" s="48" t="s">
        <v>346</v>
      </c>
      <c r="Q51" s="48" t="s">
        <v>323</v>
      </c>
      <c r="R51" s="48" t="s">
        <v>398</v>
      </c>
      <c r="S51" s="48" t="s">
        <v>67</v>
      </c>
      <c r="T51" s="48" t="s">
        <v>399</v>
      </c>
      <c r="U51" s="25" t="s">
        <v>370</v>
      </c>
      <c r="V51" s="15" t="s">
        <v>400</v>
      </c>
      <c r="W51" s="38" t="s">
        <v>1422</v>
      </c>
      <c r="X51" s="15" t="s">
        <v>1229</v>
      </c>
      <c r="Y51" t="s">
        <v>1147</v>
      </c>
      <c r="Z51" s="15" t="s">
        <v>1341</v>
      </c>
      <c r="AA51" s="38" t="s">
        <v>1425</v>
      </c>
      <c r="AB51" s="38" t="s">
        <v>1428</v>
      </c>
    </row>
    <row r="52" spans="1:28" ht="45" customHeight="1" x14ac:dyDescent="0.25">
      <c r="A52" s="48" t="s">
        <v>401</v>
      </c>
      <c r="B52" s="6" t="s">
        <v>42</v>
      </c>
      <c r="C52" s="48" t="s">
        <v>402</v>
      </c>
      <c r="D52" s="48" t="s">
        <v>403</v>
      </c>
      <c r="E52" s="52" t="s">
        <v>60</v>
      </c>
      <c r="F52" s="5" t="s">
        <v>404</v>
      </c>
      <c r="G52" s="48" t="s">
        <v>405</v>
      </c>
      <c r="H52" s="48" t="str">
        <f t="shared" si="1"/>
        <v xml:space="preserve">RO1 RO2   </v>
      </c>
      <c r="I52" s="48" t="s">
        <v>28</v>
      </c>
      <c r="J52" s="48" t="s">
        <v>29</v>
      </c>
      <c r="K52" s="48"/>
      <c r="L52" s="48"/>
      <c r="M52" s="48"/>
      <c r="N52" s="48" t="s">
        <v>406</v>
      </c>
      <c r="O52" s="48" t="s">
        <v>63</v>
      </c>
      <c r="P52" s="48" t="s">
        <v>305</v>
      </c>
      <c r="Q52" s="48" t="s">
        <v>383</v>
      </c>
      <c r="R52" s="48" t="s">
        <v>407</v>
      </c>
      <c r="S52" s="48" t="s">
        <v>308</v>
      </c>
      <c r="T52" s="48" t="s">
        <v>1463</v>
      </c>
      <c r="U52" s="25" t="s">
        <v>1182</v>
      </c>
      <c r="V52" s="15" t="s">
        <v>408</v>
      </c>
      <c r="W52" s="38" t="s">
        <v>1422</v>
      </c>
      <c r="X52" s="15" t="s">
        <v>1229</v>
      </c>
      <c r="Y52" s="15" t="s">
        <v>1146</v>
      </c>
      <c r="Z52" s="15" t="s">
        <v>1253</v>
      </c>
      <c r="AA52" s="38" t="s">
        <v>1425</v>
      </c>
      <c r="AB52" s="38" t="s">
        <v>1428</v>
      </c>
    </row>
    <row r="53" spans="1:28" ht="45" customHeight="1" x14ac:dyDescent="0.25">
      <c r="A53" s="48" t="s">
        <v>409</v>
      </c>
      <c r="B53" s="7" t="s">
        <v>72</v>
      </c>
      <c r="C53" s="48" t="s">
        <v>410</v>
      </c>
      <c r="D53" s="48" t="s">
        <v>411</v>
      </c>
      <c r="E53" s="52">
        <v>2025</v>
      </c>
      <c r="F53" s="5" t="s">
        <v>412</v>
      </c>
      <c r="G53" s="48" t="s">
        <v>405</v>
      </c>
      <c r="H53" s="48" t="str">
        <f t="shared" si="1"/>
        <v xml:space="preserve"> RO2   </v>
      </c>
      <c r="I53" s="48"/>
      <c r="J53" s="48" t="s">
        <v>29</v>
      </c>
      <c r="K53" s="48"/>
      <c r="L53" s="48"/>
      <c r="M53" s="48"/>
      <c r="N53" s="48" t="s">
        <v>160</v>
      </c>
      <c r="O53" s="48" t="s">
        <v>63</v>
      </c>
      <c r="P53" s="48" t="s">
        <v>413</v>
      </c>
      <c r="Q53" s="48" t="s">
        <v>323</v>
      </c>
      <c r="R53" s="48" t="s">
        <v>414</v>
      </c>
      <c r="S53" s="48" t="s">
        <v>67</v>
      </c>
      <c r="T53" s="48" t="s">
        <v>415</v>
      </c>
      <c r="U53" s="33" t="s">
        <v>1208</v>
      </c>
      <c r="V53" s="15" t="s">
        <v>416</v>
      </c>
      <c r="W53" s="15" t="s">
        <v>1226</v>
      </c>
      <c r="X53" s="15" t="s">
        <v>1230</v>
      </c>
      <c r="Y53" s="15" t="s">
        <v>1393</v>
      </c>
      <c r="Z53" s="15" t="s">
        <v>1342</v>
      </c>
      <c r="AA53" s="38" t="s">
        <v>1425</v>
      </c>
      <c r="AB53" s="38" t="s">
        <v>1428</v>
      </c>
    </row>
    <row r="54" spans="1:28" ht="45" customHeight="1" x14ac:dyDescent="0.25">
      <c r="A54" s="48" t="s">
        <v>417</v>
      </c>
      <c r="B54" s="7" t="s">
        <v>72</v>
      </c>
      <c r="C54" s="48" t="s">
        <v>418</v>
      </c>
      <c r="D54" s="48" t="s">
        <v>419</v>
      </c>
      <c r="E54" s="52" t="s">
        <v>60</v>
      </c>
      <c r="F54" s="5" t="s">
        <v>26</v>
      </c>
      <c r="G54" s="48" t="s">
        <v>420</v>
      </c>
      <c r="H54" s="48" t="str">
        <f t="shared" si="1"/>
        <v xml:space="preserve">RO1    </v>
      </c>
      <c r="I54" s="48" t="s">
        <v>28</v>
      </c>
      <c r="J54" s="48"/>
      <c r="K54" s="48"/>
      <c r="L54" s="48"/>
      <c r="M54" s="48"/>
      <c r="N54" s="48" t="s">
        <v>49</v>
      </c>
      <c r="O54" s="48" t="s">
        <v>50</v>
      </c>
      <c r="P54" s="48" t="s">
        <v>421</v>
      </c>
      <c r="Q54" s="48" t="s">
        <v>422</v>
      </c>
      <c r="R54" s="48" t="s">
        <v>423</v>
      </c>
      <c r="S54" s="48" t="s">
        <v>67</v>
      </c>
      <c r="T54" s="48" t="s">
        <v>424</v>
      </c>
      <c r="U54" s="25" t="s">
        <v>196</v>
      </c>
      <c r="V54" s="15" t="s">
        <v>425</v>
      </c>
      <c r="W54" s="38" t="s">
        <v>1422</v>
      </c>
      <c r="X54" s="15" t="s">
        <v>1229</v>
      </c>
      <c r="Y54" t="s">
        <v>1147</v>
      </c>
      <c r="Z54" s="15" t="s">
        <v>1343</v>
      </c>
      <c r="AA54" s="38" t="s">
        <v>1427</v>
      </c>
      <c r="AB54" s="38" t="s">
        <v>1429</v>
      </c>
    </row>
    <row r="55" spans="1:28" ht="45" customHeight="1" x14ac:dyDescent="0.25">
      <c r="A55" s="48" t="s">
        <v>426</v>
      </c>
      <c r="B55" s="7" t="s">
        <v>72</v>
      </c>
      <c r="C55" s="48" t="s">
        <v>427</v>
      </c>
      <c r="D55" s="48" t="s">
        <v>428</v>
      </c>
      <c r="E55" s="52" t="s">
        <v>45</v>
      </c>
      <c r="F55" s="5" t="s">
        <v>429</v>
      </c>
      <c r="G55" s="48" t="s">
        <v>430</v>
      </c>
      <c r="H55" s="48" t="str">
        <f t="shared" si="1"/>
        <v xml:space="preserve">   RO4 </v>
      </c>
      <c r="I55" s="48"/>
      <c r="J55" s="48"/>
      <c r="K55" s="48"/>
      <c r="L55" s="48" t="s">
        <v>30</v>
      </c>
      <c r="M55" s="48"/>
      <c r="N55" s="48" t="s">
        <v>63</v>
      </c>
      <c r="O55" s="48" t="s">
        <v>63</v>
      </c>
      <c r="P55" s="48" t="s">
        <v>431</v>
      </c>
      <c r="Q55" s="48" t="s">
        <v>432</v>
      </c>
      <c r="R55" s="48" t="s">
        <v>433</v>
      </c>
      <c r="S55" s="48" t="s">
        <v>308</v>
      </c>
      <c r="T55" s="48" t="s">
        <v>1484</v>
      </c>
      <c r="U55" s="25" t="s">
        <v>1187</v>
      </c>
      <c r="V55" s="15" t="s">
        <v>1485</v>
      </c>
      <c r="W55" s="38" t="s">
        <v>1422</v>
      </c>
      <c r="X55" s="15" t="s">
        <v>1229</v>
      </c>
      <c r="Y55" s="15" t="s">
        <v>1145</v>
      </c>
      <c r="Z55" s="15" t="s">
        <v>1366</v>
      </c>
      <c r="AA55" s="15" t="s">
        <v>1427</v>
      </c>
      <c r="AB55" s="15" t="s">
        <v>1429</v>
      </c>
    </row>
    <row r="56" spans="1:28" ht="45" customHeight="1" x14ac:dyDescent="0.25">
      <c r="A56" s="48" t="s">
        <v>434</v>
      </c>
      <c r="B56" s="7" t="s">
        <v>72</v>
      </c>
      <c r="C56" s="48" t="s">
        <v>435</v>
      </c>
      <c r="D56" s="48" t="s">
        <v>436</v>
      </c>
      <c r="E56" s="52" t="s">
        <v>45</v>
      </c>
      <c r="F56" s="5" t="s">
        <v>26</v>
      </c>
      <c r="G56" s="48" t="s">
        <v>345</v>
      </c>
      <c r="H56" s="48" t="str">
        <f t="shared" si="1"/>
        <v xml:space="preserve"> RO2   </v>
      </c>
      <c r="I56" s="48"/>
      <c r="J56" s="48" t="s">
        <v>29</v>
      </c>
      <c r="K56" s="48"/>
      <c r="L56" s="48"/>
      <c r="M56" s="48"/>
      <c r="N56" s="48" t="s">
        <v>63</v>
      </c>
      <c r="O56" s="48" t="s">
        <v>63</v>
      </c>
      <c r="P56" s="48" t="s">
        <v>346</v>
      </c>
      <c r="Q56" s="48" t="s">
        <v>437</v>
      </c>
      <c r="R56" s="48" t="s">
        <v>438</v>
      </c>
      <c r="S56" s="48" t="s">
        <v>67</v>
      </c>
      <c r="T56" s="48" t="s">
        <v>1475</v>
      </c>
      <c r="U56" s="25" t="s">
        <v>370</v>
      </c>
      <c r="V56" s="15" t="s">
        <v>439</v>
      </c>
      <c r="W56" s="38" t="s">
        <v>1422</v>
      </c>
      <c r="X56" s="15" t="s">
        <v>1229</v>
      </c>
      <c r="Y56" t="s">
        <v>1147</v>
      </c>
      <c r="Z56" s="15" t="s">
        <v>1344</v>
      </c>
      <c r="AA56" s="38" t="s">
        <v>1425</v>
      </c>
      <c r="AB56" s="38" t="s">
        <v>1428</v>
      </c>
    </row>
    <row r="57" spans="1:28" ht="45" customHeight="1" x14ac:dyDescent="0.25">
      <c r="A57" s="48" t="s">
        <v>440</v>
      </c>
      <c r="B57" s="7" t="s">
        <v>72</v>
      </c>
      <c r="C57" s="48" t="s">
        <v>441</v>
      </c>
      <c r="D57" s="48" t="s">
        <v>442</v>
      </c>
      <c r="E57" s="52" t="s">
        <v>60</v>
      </c>
      <c r="F57" s="5" t="s">
        <v>46</v>
      </c>
      <c r="G57" s="48" t="s">
        <v>443</v>
      </c>
      <c r="H57" s="48" t="str">
        <f t="shared" si="1"/>
        <v xml:space="preserve"> RO2   </v>
      </c>
      <c r="I57" s="48"/>
      <c r="J57" s="48" t="s">
        <v>29</v>
      </c>
      <c r="K57" s="48"/>
      <c r="L57" s="48"/>
      <c r="M57" s="48"/>
      <c r="N57" s="48" t="s">
        <v>63</v>
      </c>
      <c r="O57" s="48" t="s">
        <v>63</v>
      </c>
      <c r="P57" s="48" t="s">
        <v>444</v>
      </c>
      <c r="Q57" s="48" t="s">
        <v>445</v>
      </c>
      <c r="R57" s="48" t="s">
        <v>446</v>
      </c>
      <c r="S57" s="48" t="s">
        <v>67</v>
      </c>
      <c r="T57" s="48" t="s">
        <v>447</v>
      </c>
      <c r="U57" s="33" t="s">
        <v>1208</v>
      </c>
      <c r="V57" s="15" t="s">
        <v>448</v>
      </c>
      <c r="W57" s="38" t="s">
        <v>1422</v>
      </c>
      <c r="X57" s="15" t="s">
        <v>1230</v>
      </c>
      <c r="Y57" s="15" t="s">
        <v>1396</v>
      </c>
      <c r="Z57" s="15" t="s">
        <v>1345</v>
      </c>
      <c r="AA57" s="38" t="s">
        <v>1425</v>
      </c>
      <c r="AB57" s="38" t="s">
        <v>1428</v>
      </c>
    </row>
    <row r="58" spans="1:28" ht="45" customHeight="1" x14ac:dyDescent="0.25">
      <c r="A58" s="48" t="s">
        <v>449</v>
      </c>
      <c r="B58" s="7" t="s">
        <v>72</v>
      </c>
      <c r="C58" s="48" t="s">
        <v>450</v>
      </c>
      <c r="D58" s="48" t="s">
        <v>451</v>
      </c>
      <c r="E58" s="52" t="s">
        <v>45</v>
      </c>
      <c r="F58" s="5" t="s">
        <v>26</v>
      </c>
      <c r="G58" s="48" t="s">
        <v>345</v>
      </c>
      <c r="H58" s="48" t="str">
        <f t="shared" si="1"/>
        <v xml:space="preserve"> RO2   </v>
      </c>
      <c r="I58" s="48"/>
      <c r="J58" s="48" t="s">
        <v>29</v>
      </c>
      <c r="K58" s="48"/>
      <c r="L58" s="48"/>
      <c r="M58" s="48"/>
      <c r="N58" s="48" t="s">
        <v>452</v>
      </c>
      <c r="O58" s="48" t="s">
        <v>63</v>
      </c>
      <c r="P58" s="48" t="s">
        <v>346</v>
      </c>
      <c r="Q58" s="48" t="s">
        <v>323</v>
      </c>
      <c r="R58" s="48" t="s">
        <v>453</v>
      </c>
      <c r="S58" s="48" t="s">
        <v>67</v>
      </c>
      <c r="T58" s="48" t="s">
        <v>454</v>
      </c>
      <c r="U58" s="25" t="s">
        <v>370</v>
      </c>
      <c r="V58" s="15" t="s">
        <v>455</v>
      </c>
      <c r="W58" s="38" t="s">
        <v>1422</v>
      </c>
      <c r="X58" s="15" t="s">
        <v>1229</v>
      </c>
      <c r="Y58" t="s">
        <v>1147</v>
      </c>
      <c r="Z58" s="15" t="s">
        <v>1346</v>
      </c>
      <c r="AA58" s="38" t="s">
        <v>1425</v>
      </c>
      <c r="AB58" s="38" t="s">
        <v>1428</v>
      </c>
    </row>
    <row r="59" spans="1:28" ht="45" customHeight="1" x14ac:dyDescent="0.25">
      <c r="A59" s="48" t="s">
        <v>456</v>
      </c>
      <c r="B59" s="6" t="s">
        <v>42</v>
      </c>
      <c r="C59" s="48" t="s">
        <v>457</v>
      </c>
      <c r="D59" s="48" t="s">
        <v>458</v>
      </c>
      <c r="E59" s="52" t="s">
        <v>303</v>
      </c>
      <c r="F59" s="5" t="s">
        <v>26</v>
      </c>
      <c r="G59" s="48" t="s">
        <v>405</v>
      </c>
      <c r="H59" s="48" t="str">
        <f t="shared" si="1"/>
        <v xml:space="preserve"> RO2  RO4 </v>
      </c>
      <c r="I59" s="48"/>
      <c r="J59" s="48" t="s">
        <v>29</v>
      </c>
      <c r="K59" s="48"/>
      <c r="L59" s="48" t="s">
        <v>30</v>
      </c>
      <c r="M59" s="48"/>
      <c r="N59" s="48" t="s">
        <v>63</v>
      </c>
      <c r="O59" s="48" t="s">
        <v>63</v>
      </c>
      <c r="P59" s="48" t="s">
        <v>346</v>
      </c>
      <c r="Q59" s="48" t="s">
        <v>459</v>
      </c>
      <c r="R59" s="48" t="s">
        <v>460</v>
      </c>
      <c r="S59" s="48" t="s">
        <v>461</v>
      </c>
      <c r="T59" s="48" t="s">
        <v>1466</v>
      </c>
      <c r="U59" s="33" t="s">
        <v>1208</v>
      </c>
      <c r="V59" s="15" t="s">
        <v>462</v>
      </c>
      <c r="W59" s="38" t="s">
        <v>1422</v>
      </c>
      <c r="X59" s="15" t="s">
        <v>1230</v>
      </c>
      <c r="Y59" s="15" t="s">
        <v>1147</v>
      </c>
      <c r="Z59" s="15" t="s">
        <v>1254</v>
      </c>
      <c r="AA59" s="38" t="s">
        <v>1427</v>
      </c>
      <c r="AB59" s="38" t="s">
        <v>1429</v>
      </c>
    </row>
    <row r="60" spans="1:28" ht="45" customHeight="1" x14ac:dyDescent="0.25">
      <c r="A60" s="48" t="s">
        <v>463</v>
      </c>
      <c r="B60" s="12" t="s">
        <v>1163</v>
      </c>
      <c r="C60" s="48" t="s">
        <v>464</v>
      </c>
      <c r="D60" s="48" t="s">
        <v>465</v>
      </c>
      <c r="E60" s="52" t="s">
        <v>60</v>
      </c>
      <c r="F60" s="8" t="s">
        <v>46</v>
      </c>
      <c r="G60" s="48" t="s">
        <v>466</v>
      </c>
      <c r="H60" s="48" t="str">
        <f t="shared" si="1"/>
        <v xml:space="preserve">   RO4 </v>
      </c>
      <c r="I60" s="48"/>
      <c r="J60" s="48"/>
      <c r="K60" s="48"/>
      <c r="L60" s="48" t="s">
        <v>30</v>
      </c>
      <c r="M60" s="48"/>
      <c r="N60" s="48" t="s">
        <v>49</v>
      </c>
      <c r="O60" s="48" t="s">
        <v>50</v>
      </c>
      <c r="P60" s="48" t="s">
        <v>431</v>
      </c>
      <c r="Q60" s="48" t="s">
        <v>467</v>
      </c>
      <c r="R60" s="48" t="s">
        <v>468</v>
      </c>
      <c r="S60" s="48" t="s">
        <v>67</v>
      </c>
      <c r="T60" s="48" t="s">
        <v>469</v>
      </c>
      <c r="U60" s="34" t="s">
        <v>1193</v>
      </c>
      <c r="V60" s="15" t="s">
        <v>470</v>
      </c>
      <c r="W60" s="38" t="s">
        <v>1422</v>
      </c>
      <c r="X60" s="15" t="s">
        <v>1229</v>
      </c>
      <c r="Y60" s="15" t="s">
        <v>1143</v>
      </c>
      <c r="Z60" s="15" t="s">
        <v>1286</v>
      </c>
      <c r="AA60" s="15" t="s">
        <v>1427</v>
      </c>
      <c r="AB60" s="15" t="s">
        <v>1429</v>
      </c>
    </row>
    <row r="61" spans="1:28" ht="45" customHeight="1" x14ac:dyDescent="0.25">
      <c r="A61" s="48" t="s">
        <v>471</v>
      </c>
      <c r="B61" s="7" t="s">
        <v>72</v>
      </c>
      <c r="C61" s="48" t="s">
        <v>472</v>
      </c>
      <c r="D61" s="48" t="s">
        <v>473</v>
      </c>
      <c r="E61" s="52" t="s">
        <v>303</v>
      </c>
      <c r="F61" s="8" t="s">
        <v>1275</v>
      </c>
      <c r="G61" s="48" t="s">
        <v>474</v>
      </c>
      <c r="H61" s="48" t="str">
        <f t="shared" si="1"/>
        <v xml:space="preserve"> RO2  RO4 </v>
      </c>
      <c r="I61" s="48"/>
      <c r="J61" s="48" t="s">
        <v>29</v>
      </c>
      <c r="K61" s="48"/>
      <c r="L61" s="48" t="s">
        <v>30</v>
      </c>
      <c r="M61" s="48"/>
      <c r="N61" s="48" t="s">
        <v>1476</v>
      </c>
      <c r="O61" s="48" t="s">
        <v>50</v>
      </c>
      <c r="P61" s="48" t="s">
        <v>322</v>
      </c>
      <c r="Q61" s="48" t="s">
        <v>422</v>
      </c>
      <c r="R61" s="48" t="s">
        <v>475</v>
      </c>
      <c r="S61" s="48" t="s">
        <v>476</v>
      </c>
      <c r="T61" s="48" t="s">
        <v>477</v>
      </c>
      <c r="U61" s="25" t="s">
        <v>1175</v>
      </c>
      <c r="V61" s="15" t="s">
        <v>478</v>
      </c>
      <c r="W61" s="38" t="s">
        <v>1422</v>
      </c>
      <c r="X61" s="15" t="s">
        <v>1229</v>
      </c>
      <c r="Y61" s="15" t="s">
        <v>1146</v>
      </c>
      <c r="Z61" s="15" t="s">
        <v>1367</v>
      </c>
      <c r="AA61" s="15" t="s">
        <v>1427</v>
      </c>
      <c r="AB61" s="15" t="s">
        <v>1429</v>
      </c>
    </row>
    <row r="62" spans="1:28" ht="45" customHeight="1" x14ac:dyDescent="0.25">
      <c r="A62" s="48" t="s">
        <v>479</v>
      </c>
      <c r="B62" s="12" t="s">
        <v>1163</v>
      </c>
      <c r="C62" s="48" t="s">
        <v>480</v>
      </c>
      <c r="D62" s="48" t="s">
        <v>481</v>
      </c>
      <c r="E62" s="52" t="s">
        <v>60</v>
      </c>
      <c r="F62" s="8" t="s">
        <v>46</v>
      </c>
      <c r="G62" s="48" t="s">
        <v>466</v>
      </c>
      <c r="H62" s="48" t="str">
        <f t="shared" si="1"/>
        <v xml:space="preserve">   RO4 </v>
      </c>
      <c r="I62" s="48"/>
      <c r="J62" s="48"/>
      <c r="K62" s="48"/>
      <c r="L62" s="48" t="s">
        <v>30</v>
      </c>
      <c r="M62" s="48"/>
      <c r="N62" s="48" t="s">
        <v>63</v>
      </c>
      <c r="O62" s="48" t="s">
        <v>63</v>
      </c>
      <c r="P62" s="48" t="s">
        <v>482</v>
      </c>
      <c r="Q62" s="48" t="s">
        <v>483</v>
      </c>
      <c r="R62" s="48" t="s">
        <v>484</v>
      </c>
      <c r="S62" s="48" t="s">
        <v>461</v>
      </c>
      <c r="T62" s="48" t="s">
        <v>485</v>
      </c>
      <c r="U62" s="34" t="s">
        <v>1192</v>
      </c>
      <c r="V62" s="15" t="s">
        <v>486</v>
      </c>
      <c r="W62" s="38" t="s">
        <v>1422</v>
      </c>
      <c r="X62" s="15" t="s">
        <v>1229</v>
      </c>
      <c r="Y62" s="15" t="s">
        <v>1143</v>
      </c>
      <c r="Z62" s="15" t="s">
        <v>1287</v>
      </c>
      <c r="AA62" s="38" t="s">
        <v>1425</v>
      </c>
      <c r="AB62" s="38" t="s">
        <v>1428</v>
      </c>
    </row>
    <row r="63" spans="1:28" ht="45" customHeight="1" x14ac:dyDescent="0.25">
      <c r="A63" s="48" t="s">
        <v>487</v>
      </c>
      <c r="B63" s="7" t="s">
        <v>72</v>
      </c>
      <c r="C63" s="48" t="s">
        <v>488</v>
      </c>
      <c r="D63" s="48" t="s">
        <v>489</v>
      </c>
      <c r="E63" s="52" t="s">
        <v>60</v>
      </c>
      <c r="F63" s="8" t="s">
        <v>46</v>
      </c>
      <c r="G63" s="48" t="s">
        <v>466</v>
      </c>
      <c r="H63" s="48" t="str">
        <f t="shared" si="1"/>
        <v xml:space="preserve">   RO4 </v>
      </c>
      <c r="I63" s="48"/>
      <c r="J63" s="48"/>
      <c r="K63" s="48"/>
      <c r="L63" s="48" t="s">
        <v>30</v>
      </c>
      <c r="M63" s="48"/>
      <c r="N63" s="48" t="s">
        <v>1486</v>
      </c>
      <c r="O63" s="48" t="s">
        <v>50</v>
      </c>
      <c r="P63" s="48" t="s">
        <v>490</v>
      </c>
      <c r="Q63" s="48" t="s">
        <v>491</v>
      </c>
      <c r="R63" s="48" t="s">
        <v>492</v>
      </c>
      <c r="S63" s="48" t="s">
        <v>461</v>
      </c>
      <c r="T63" s="48" t="s">
        <v>1487</v>
      </c>
      <c r="U63" s="33" t="s">
        <v>1208</v>
      </c>
      <c r="V63" s="15" t="s">
        <v>493</v>
      </c>
      <c r="W63" s="38" t="s">
        <v>1422</v>
      </c>
      <c r="X63" s="15" t="s">
        <v>1230</v>
      </c>
      <c r="Y63" s="38" t="s">
        <v>1397</v>
      </c>
      <c r="Z63" s="15" t="s">
        <v>1368</v>
      </c>
      <c r="AA63" s="38" t="s">
        <v>1425</v>
      </c>
      <c r="AB63" s="38" t="s">
        <v>1428</v>
      </c>
    </row>
    <row r="64" spans="1:28" ht="45" customHeight="1" x14ac:dyDescent="0.25">
      <c r="A64" s="48" t="s">
        <v>494</v>
      </c>
      <c r="B64" s="7" t="s">
        <v>72</v>
      </c>
      <c r="C64" s="48" t="s">
        <v>495</v>
      </c>
      <c r="D64" s="48" t="s">
        <v>496</v>
      </c>
      <c r="E64" s="52" t="s">
        <v>303</v>
      </c>
      <c r="F64" s="8" t="s">
        <v>497</v>
      </c>
      <c r="G64" s="48" t="s">
        <v>466</v>
      </c>
      <c r="H64" s="48" t="str">
        <f t="shared" si="1"/>
        <v xml:space="preserve">   RO4 </v>
      </c>
      <c r="I64" s="48"/>
      <c r="J64" s="48"/>
      <c r="K64" s="48"/>
      <c r="L64" s="48" t="s">
        <v>30</v>
      </c>
      <c r="M64" s="48"/>
      <c r="N64" s="48" t="s">
        <v>1488</v>
      </c>
      <c r="O64" s="48" t="s">
        <v>63</v>
      </c>
      <c r="P64" s="48" t="s">
        <v>431</v>
      </c>
      <c r="Q64" s="48" t="s">
        <v>467</v>
      </c>
      <c r="R64" s="48" t="s">
        <v>498</v>
      </c>
      <c r="S64" s="48" t="s">
        <v>241</v>
      </c>
      <c r="T64" s="48" t="s">
        <v>1489</v>
      </c>
      <c r="U64" s="25" t="s">
        <v>1196</v>
      </c>
      <c r="V64" s="20" t="s">
        <v>499</v>
      </c>
      <c r="W64" s="38" t="s">
        <v>1422</v>
      </c>
      <c r="X64" s="37" t="s">
        <v>1230</v>
      </c>
      <c r="Y64" s="37" t="s">
        <v>1173</v>
      </c>
      <c r="Z64" s="15" t="s">
        <v>1369</v>
      </c>
      <c r="AA64" s="15" t="s">
        <v>1427</v>
      </c>
      <c r="AB64" s="15" t="s">
        <v>1429</v>
      </c>
    </row>
    <row r="65" spans="1:28" ht="45" customHeight="1" x14ac:dyDescent="0.25">
      <c r="A65" s="48" t="s">
        <v>500</v>
      </c>
      <c r="B65" s="12" t="s">
        <v>1163</v>
      </c>
      <c r="C65" s="48" t="s">
        <v>501</v>
      </c>
      <c r="D65" s="48" t="s">
        <v>502</v>
      </c>
      <c r="E65" s="52" t="s">
        <v>303</v>
      </c>
      <c r="F65" s="8" t="s">
        <v>46</v>
      </c>
      <c r="G65" s="48" t="s">
        <v>466</v>
      </c>
      <c r="H65" s="48" t="str">
        <f t="shared" si="1"/>
        <v xml:space="preserve">   RO4 </v>
      </c>
      <c r="I65" s="48"/>
      <c r="J65" s="48"/>
      <c r="K65" s="48"/>
      <c r="L65" s="48" t="s">
        <v>30</v>
      </c>
      <c r="M65" s="48"/>
      <c r="N65" s="48" t="s">
        <v>63</v>
      </c>
      <c r="O65" s="48" t="s">
        <v>63</v>
      </c>
      <c r="P65" s="48" t="s">
        <v>503</v>
      </c>
      <c r="Q65" s="48" t="s">
        <v>504</v>
      </c>
      <c r="R65" s="48" t="s">
        <v>505</v>
      </c>
      <c r="S65" s="48" t="s">
        <v>461</v>
      </c>
      <c r="T65" s="48" t="s">
        <v>506</v>
      </c>
      <c r="U65" s="34" t="s">
        <v>1192</v>
      </c>
      <c r="V65" s="15" t="s">
        <v>507</v>
      </c>
      <c r="W65" s="38" t="s">
        <v>1422</v>
      </c>
      <c r="X65" s="15" t="s">
        <v>1229</v>
      </c>
      <c r="Y65" s="15" t="s">
        <v>1143</v>
      </c>
      <c r="Z65" s="15" t="s">
        <v>1288</v>
      </c>
      <c r="AA65" s="38" t="s">
        <v>1425</v>
      </c>
      <c r="AB65" s="38" t="s">
        <v>1428</v>
      </c>
    </row>
    <row r="66" spans="1:28" ht="45" customHeight="1" x14ac:dyDescent="0.25">
      <c r="A66" s="48" t="s">
        <v>508</v>
      </c>
      <c r="B66" s="7" t="s">
        <v>72</v>
      </c>
      <c r="C66" s="48" t="s">
        <v>509</v>
      </c>
      <c r="D66" s="48" t="s">
        <v>510</v>
      </c>
      <c r="E66" s="52" t="s">
        <v>45</v>
      </c>
      <c r="F66" s="8" t="s">
        <v>26</v>
      </c>
      <c r="G66" s="48" t="s">
        <v>466</v>
      </c>
      <c r="H66" s="48" t="str">
        <f t="shared" si="1"/>
        <v xml:space="preserve">   RO4 </v>
      </c>
      <c r="I66" s="48"/>
      <c r="J66" s="48"/>
      <c r="K66" s="48"/>
      <c r="L66" s="48" t="s">
        <v>30</v>
      </c>
      <c r="M66" s="48"/>
      <c r="N66" s="48" t="s">
        <v>63</v>
      </c>
      <c r="O66" s="48" t="s">
        <v>63</v>
      </c>
      <c r="P66" s="48" t="s">
        <v>511</v>
      </c>
      <c r="Q66" s="48" t="s">
        <v>512</v>
      </c>
      <c r="R66" s="48" t="s">
        <v>513</v>
      </c>
      <c r="S66" s="48" t="s">
        <v>241</v>
      </c>
      <c r="T66" s="48" t="s">
        <v>1490</v>
      </c>
      <c r="U66" s="25" t="s">
        <v>1196</v>
      </c>
      <c r="V66" s="20" t="s">
        <v>1491</v>
      </c>
      <c r="W66" s="38" t="s">
        <v>1422</v>
      </c>
      <c r="X66" s="37" t="s">
        <v>1230</v>
      </c>
      <c r="Y66" s="37" t="s">
        <v>1173</v>
      </c>
      <c r="Z66" s="15" t="s">
        <v>1370</v>
      </c>
      <c r="AA66" s="15" t="s">
        <v>1427</v>
      </c>
      <c r="AB66" s="15" t="s">
        <v>1429</v>
      </c>
    </row>
    <row r="67" spans="1:28" ht="45" customHeight="1" x14ac:dyDescent="0.25">
      <c r="A67" s="48" t="s">
        <v>514</v>
      </c>
      <c r="B67" s="7" t="s">
        <v>72</v>
      </c>
      <c r="C67" s="48" t="s">
        <v>515</v>
      </c>
      <c r="D67" s="48" t="s">
        <v>516</v>
      </c>
      <c r="E67" s="52" t="s">
        <v>60</v>
      </c>
      <c r="F67" s="8" t="s">
        <v>46</v>
      </c>
      <c r="G67" s="48" t="s">
        <v>466</v>
      </c>
      <c r="H67" s="48" t="str">
        <f t="shared" ref="H67:H98" si="2">I67&amp;" "&amp;J67&amp;" "&amp;K67&amp;" "&amp;L67&amp;" "&amp;M67</f>
        <v xml:space="preserve">   RO4 </v>
      </c>
      <c r="I67" s="48"/>
      <c r="J67" s="48"/>
      <c r="K67" s="48"/>
      <c r="L67" s="48" t="s">
        <v>30</v>
      </c>
      <c r="M67" s="48"/>
      <c r="N67" s="48" t="s">
        <v>63</v>
      </c>
      <c r="O67" s="48" t="s">
        <v>63</v>
      </c>
      <c r="P67" s="48" t="s">
        <v>517</v>
      </c>
      <c r="Q67" s="48" t="s">
        <v>518</v>
      </c>
      <c r="R67" s="48" t="s">
        <v>519</v>
      </c>
      <c r="S67" s="48" t="s">
        <v>461</v>
      </c>
      <c r="T67" s="48" t="s">
        <v>1492</v>
      </c>
      <c r="U67" s="33" t="s">
        <v>1208</v>
      </c>
      <c r="V67" s="15" t="s">
        <v>1493</v>
      </c>
      <c r="W67" s="38" t="s">
        <v>1422</v>
      </c>
      <c r="X67" s="15" t="s">
        <v>1230</v>
      </c>
      <c r="Y67" s="38" t="s">
        <v>1397</v>
      </c>
      <c r="Z67" s="15" t="s">
        <v>1371</v>
      </c>
      <c r="AA67" s="38" t="s">
        <v>1425</v>
      </c>
      <c r="AB67" s="38" t="s">
        <v>1428</v>
      </c>
    </row>
    <row r="68" spans="1:28" ht="45" customHeight="1" x14ac:dyDescent="0.25">
      <c r="A68" s="48" t="s">
        <v>520</v>
      </c>
      <c r="B68" s="7" t="s">
        <v>72</v>
      </c>
      <c r="C68" s="48" t="s">
        <v>521</v>
      </c>
      <c r="D68" s="48" t="s">
        <v>522</v>
      </c>
      <c r="E68" s="52" t="s">
        <v>303</v>
      </c>
      <c r="F68" s="8" t="s">
        <v>46</v>
      </c>
      <c r="G68" s="48" t="s">
        <v>466</v>
      </c>
      <c r="H68" s="48" t="str">
        <f t="shared" si="2"/>
        <v xml:space="preserve">   RO4 </v>
      </c>
      <c r="I68" s="48"/>
      <c r="J68" s="48"/>
      <c r="K68" s="48"/>
      <c r="L68" s="48" t="s">
        <v>30</v>
      </c>
      <c r="M68" s="48"/>
      <c r="N68" s="48" t="s">
        <v>359</v>
      </c>
      <c r="O68" s="48" t="s">
        <v>50</v>
      </c>
      <c r="P68" s="48" t="s">
        <v>523</v>
      </c>
      <c r="Q68" s="48" t="s">
        <v>422</v>
      </c>
      <c r="R68" s="48" t="s">
        <v>524</v>
      </c>
      <c r="S68" s="48" t="s">
        <v>67</v>
      </c>
      <c r="T68" s="48" t="s">
        <v>1494</v>
      </c>
      <c r="U68" s="33" t="s">
        <v>1208</v>
      </c>
      <c r="V68" s="15" t="s">
        <v>1495</v>
      </c>
      <c r="W68" s="38" t="s">
        <v>1422</v>
      </c>
      <c r="X68" s="15" t="s">
        <v>1230</v>
      </c>
      <c r="Y68" s="38" t="s">
        <v>1397</v>
      </c>
      <c r="Z68" s="15" t="s">
        <v>1372</v>
      </c>
      <c r="AA68" s="15" t="s">
        <v>1427</v>
      </c>
      <c r="AB68" s="15" t="s">
        <v>1429</v>
      </c>
    </row>
    <row r="69" spans="1:28" ht="45" customHeight="1" x14ac:dyDescent="0.25">
      <c r="A69" s="48" t="s">
        <v>525</v>
      </c>
      <c r="B69" s="7" t="s">
        <v>72</v>
      </c>
      <c r="C69" s="48" t="s">
        <v>526</v>
      </c>
      <c r="D69" s="48" t="s">
        <v>527</v>
      </c>
      <c r="E69" s="52" t="s">
        <v>60</v>
      </c>
      <c r="F69" s="8" t="s">
        <v>26</v>
      </c>
      <c r="G69" s="48" t="s">
        <v>528</v>
      </c>
      <c r="H69" s="48" t="str">
        <f t="shared" si="2"/>
        <v xml:space="preserve">    RO5</v>
      </c>
      <c r="I69" s="48"/>
      <c r="J69" s="48"/>
      <c r="K69" s="48"/>
      <c r="L69" s="48"/>
      <c r="M69" s="48" t="s">
        <v>31</v>
      </c>
      <c r="N69" s="48" t="s">
        <v>1276</v>
      </c>
      <c r="O69" s="48" t="s">
        <v>50</v>
      </c>
      <c r="P69" s="48" t="s">
        <v>523</v>
      </c>
      <c r="Q69" s="48" t="s">
        <v>422</v>
      </c>
      <c r="R69" s="48" t="s">
        <v>529</v>
      </c>
      <c r="S69" s="48" t="s">
        <v>67</v>
      </c>
      <c r="T69" s="48" t="s">
        <v>1501</v>
      </c>
      <c r="U69" s="25" t="s">
        <v>1193</v>
      </c>
      <c r="V69" s="61" t="s">
        <v>530</v>
      </c>
      <c r="W69" s="38" t="s">
        <v>1422</v>
      </c>
      <c r="X69" s="15" t="s">
        <v>1229</v>
      </c>
      <c r="Y69" s="15" t="s">
        <v>1143</v>
      </c>
      <c r="Z69" s="15" t="s">
        <v>1373</v>
      </c>
      <c r="AA69" s="38" t="s">
        <v>1425</v>
      </c>
      <c r="AB69" s="38" t="s">
        <v>1428</v>
      </c>
    </row>
    <row r="70" spans="1:28" ht="45" customHeight="1" x14ac:dyDescent="0.25">
      <c r="A70" s="48" t="s">
        <v>531</v>
      </c>
      <c r="B70" s="12" t="s">
        <v>1163</v>
      </c>
      <c r="C70" s="48" t="s">
        <v>532</v>
      </c>
      <c r="D70" s="48" t="s">
        <v>533</v>
      </c>
      <c r="E70" s="52" t="s">
        <v>45</v>
      </c>
      <c r="F70" s="8" t="s">
        <v>26</v>
      </c>
      <c r="G70" s="48" t="s">
        <v>430</v>
      </c>
      <c r="H70" s="48" t="str">
        <f t="shared" si="2"/>
        <v xml:space="preserve">   RO4 </v>
      </c>
      <c r="I70" s="48"/>
      <c r="J70" s="48"/>
      <c r="K70" s="48"/>
      <c r="L70" s="48" t="s">
        <v>30</v>
      </c>
      <c r="M70" s="48"/>
      <c r="N70" s="48" t="s">
        <v>63</v>
      </c>
      <c r="O70" s="48" t="s">
        <v>63</v>
      </c>
      <c r="P70" s="48" t="s">
        <v>534</v>
      </c>
      <c r="Q70" s="48" t="s">
        <v>504</v>
      </c>
      <c r="R70" s="48" t="s">
        <v>535</v>
      </c>
      <c r="S70" s="48" t="s">
        <v>461</v>
      </c>
      <c r="T70" s="48" t="s">
        <v>536</v>
      </c>
      <c r="U70" s="28" t="s">
        <v>1208</v>
      </c>
      <c r="V70" s="15" t="s">
        <v>537</v>
      </c>
      <c r="W70" s="38" t="s">
        <v>1422</v>
      </c>
      <c r="X70" s="15" t="s">
        <v>1230</v>
      </c>
      <c r="Y70" s="38" t="s">
        <v>1147</v>
      </c>
      <c r="Z70" s="15" t="s">
        <v>1289</v>
      </c>
      <c r="AA70" s="38" t="s">
        <v>1425</v>
      </c>
      <c r="AB70" s="38" t="s">
        <v>1428</v>
      </c>
    </row>
    <row r="71" spans="1:28" ht="45" customHeight="1" x14ac:dyDescent="0.25">
      <c r="A71" s="48" t="s">
        <v>538</v>
      </c>
      <c r="B71" s="6" t="s">
        <v>42</v>
      </c>
      <c r="C71" s="48" t="s">
        <v>539</v>
      </c>
      <c r="D71" s="48" t="s">
        <v>540</v>
      </c>
      <c r="E71" s="52" t="s">
        <v>303</v>
      </c>
      <c r="F71" s="8" t="s">
        <v>84</v>
      </c>
      <c r="G71" s="48" t="s">
        <v>541</v>
      </c>
      <c r="H71" s="48" t="str">
        <f t="shared" si="2"/>
        <v xml:space="preserve">  RO3 RO4 </v>
      </c>
      <c r="I71" s="48"/>
      <c r="J71" s="48"/>
      <c r="K71" s="48" t="s">
        <v>48</v>
      </c>
      <c r="L71" s="48" t="s">
        <v>30</v>
      </c>
      <c r="M71" s="48"/>
      <c r="N71" s="48" t="s">
        <v>1468</v>
      </c>
      <c r="O71" s="48" t="s">
        <v>50</v>
      </c>
      <c r="P71" s="48" t="s">
        <v>542</v>
      </c>
      <c r="Q71" s="48" t="s">
        <v>543</v>
      </c>
      <c r="R71" s="48" t="s">
        <v>544</v>
      </c>
      <c r="S71" s="48" t="s">
        <v>67</v>
      </c>
      <c r="T71" s="48" t="s">
        <v>545</v>
      </c>
      <c r="U71" s="25" t="s">
        <v>196</v>
      </c>
      <c r="V71" s="15" t="s">
        <v>1469</v>
      </c>
      <c r="W71" s="38" t="s">
        <v>1422</v>
      </c>
      <c r="X71" s="15" t="s">
        <v>1229</v>
      </c>
      <c r="Y71" t="s">
        <v>1147</v>
      </c>
      <c r="Z71" s="15" t="s">
        <v>1255</v>
      </c>
      <c r="AA71" s="38" t="s">
        <v>1425</v>
      </c>
      <c r="AB71" s="38" t="s">
        <v>1428</v>
      </c>
    </row>
    <row r="72" spans="1:28" ht="45" customHeight="1" x14ac:dyDescent="0.25">
      <c r="A72" s="48" t="s">
        <v>546</v>
      </c>
      <c r="B72" s="7" t="s">
        <v>72</v>
      </c>
      <c r="C72" s="48" t="s">
        <v>547</v>
      </c>
      <c r="D72" s="48" t="s">
        <v>548</v>
      </c>
      <c r="E72" s="52" t="s">
        <v>45</v>
      </c>
      <c r="F72" s="8" t="s">
        <v>26</v>
      </c>
      <c r="G72" s="48" t="s">
        <v>430</v>
      </c>
      <c r="H72" s="48" t="str">
        <f t="shared" si="2"/>
        <v xml:space="preserve">   RO4 </v>
      </c>
      <c r="I72" s="48"/>
      <c r="J72" s="48"/>
      <c r="K72" s="48"/>
      <c r="L72" s="48" t="s">
        <v>30</v>
      </c>
      <c r="M72" s="48"/>
      <c r="N72" s="48" t="s">
        <v>63</v>
      </c>
      <c r="O72" s="48" t="s">
        <v>63</v>
      </c>
      <c r="P72" s="48" t="s">
        <v>549</v>
      </c>
      <c r="Q72" s="48" t="s">
        <v>550</v>
      </c>
      <c r="R72" s="48" t="s">
        <v>551</v>
      </c>
      <c r="S72" s="48" t="s">
        <v>461</v>
      </c>
      <c r="T72" s="48" t="s">
        <v>1496</v>
      </c>
      <c r="U72" s="25" t="s">
        <v>1175</v>
      </c>
      <c r="V72" s="15" t="s">
        <v>552</v>
      </c>
      <c r="W72" s="38" t="s">
        <v>1422</v>
      </c>
      <c r="X72" s="15" t="s">
        <v>1229</v>
      </c>
      <c r="Y72" s="15" t="s">
        <v>1146</v>
      </c>
      <c r="Z72" s="15" t="s">
        <v>1374</v>
      </c>
      <c r="AA72" s="38" t="s">
        <v>1425</v>
      </c>
      <c r="AB72" s="38" t="s">
        <v>1428</v>
      </c>
    </row>
    <row r="73" spans="1:28" ht="45" customHeight="1" x14ac:dyDescent="0.25">
      <c r="A73" s="48" t="s">
        <v>553</v>
      </c>
      <c r="B73" s="6" t="s">
        <v>42</v>
      </c>
      <c r="C73" s="48" t="s">
        <v>554</v>
      </c>
      <c r="D73" s="48" t="s">
        <v>1507</v>
      </c>
      <c r="E73" s="52" t="s">
        <v>60</v>
      </c>
      <c r="F73" s="8" t="s">
        <v>26</v>
      </c>
      <c r="G73" s="48" t="s">
        <v>555</v>
      </c>
      <c r="H73" s="48" t="str">
        <f t="shared" si="2"/>
        <v xml:space="preserve">RO1   RO4 </v>
      </c>
      <c r="I73" s="48" t="s">
        <v>28</v>
      </c>
      <c r="J73" s="48"/>
      <c r="K73" s="48"/>
      <c r="L73" s="48" t="s">
        <v>30</v>
      </c>
      <c r="M73" s="48"/>
      <c r="N73" s="48" t="s">
        <v>1465</v>
      </c>
      <c r="O73" s="48" t="s">
        <v>75</v>
      </c>
      <c r="P73" s="48" t="s">
        <v>556</v>
      </c>
      <c r="Q73" s="48" t="s">
        <v>383</v>
      </c>
      <c r="R73" s="48" t="s">
        <v>557</v>
      </c>
      <c r="S73" s="48" t="s">
        <v>67</v>
      </c>
      <c r="T73" s="48" t="s">
        <v>1464</v>
      </c>
      <c r="U73" s="25" t="s">
        <v>1199</v>
      </c>
      <c r="V73" s="20" t="s">
        <v>558</v>
      </c>
      <c r="W73" s="38" t="s">
        <v>1422</v>
      </c>
      <c r="X73" s="37" t="s">
        <v>1230</v>
      </c>
      <c r="Y73" s="37" t="s">
        <v>1173</v>
      </c>
      <c r="Z73" s="15" t="s">
        <v>1256</v>
      </c>
      <c r="AA73" s="15" t="s">
        <v>1427</v>
      </c>
      <c r="AB73" s="15" t="s">
        <v>1429</v>
      </c>
    </row>
    <row r="74" spans="1:28" ht="45" customHeight="1" x14ac:dyDescent="0.25">
      <c r="A74" s="48" t="s">
        <v>559</v>
      </c>
      <c r="B74" s="7" t="s">
        <v>72</v>
      </c>
      <c r="C74" s="48" t="s">
        <v>560</v>
      </c>
      <c r="D74" s="48" t="s">
        <v>561</v>
      </c>
      <c r="E74" s="52" t="s">
        <v>60</v>
      </c>
      <c r="F74" s="4" t="s">
        <v>26</v>
      </c>
      <c r="G74" s="48" t="s">
        <v>562</v>
      </c>
      <c r="H74" s="48" t="str">
        <f t="shared" si="2"/>
        <v xml:space="preserve">RO1    </v>
      </c>
      <c r="I74" s="48" t="s">
        <v>28</v>
      </c>
      <c r="J74" s="48"/>
      <c r="K74" s="48"/>
      <c r="L74" s="48"/>
      <c r="M74" s="48"/>
      <c r="N74" s="48" t="s">
        <v>63</v>
      </c>
      <c r="O74" s="48" t="s">
        <v>63</v>
      </c>
      <c r="P74" s="48" t="s">
        <v>563</v>
      </c>
      <c r="Q74" s="48" t="s">
        <v>107</v>
      </c>
      <c r="R74" s="48" t="s">
        <v>564</v>
      </c>
      <c r="S74" s="48" t="s">
        <v>565</v>
      </c>
      <c r="T74" s="48" t="s">
        <v>566</v>
      </c>
      <c r="U74" s="25" t="s">
        <v>567</v>
      </c>
      <c r="V74" s="15" t="s">
        <v>568</v>
      </c>
      <c r="W74" s="38" t="s">
        <v>1422</v>
      </c>
      <c r="X74" s="15" t="s">
        <v>1229</v>
      </c>
      <c r="Y74" t="s">
        <v>1147</v>
      </c>
      <c r="Z74" s="15" t="s">
        <v>1347</v>
      </c>
      <c r="AA74" s="38" t="s">
        <v>1425</v>
      </c>
      <c r="AB74" s="38" t="s">
        <v>1428</v>
      </c>
    </row>
    <row r="75" spans="1:28" ht="45" customHeight="1" x14ac:dyDescent="0.25">
      <c r="A75" s="48" t="s">
        <v>569</v>
      </c>
      <c r="B75" s="7" t="s">
        <v>72</v>
      </c>
      <c r="C75" s="48" t="s">
        <v>570</v>
      </c>
      <c r="D75" s="48" t="s">
        <v>571</v>
      </c>
      <c r="E75" s="52" t="s">
        <v>60</v>
      </c>
      <c r="F75" s="4" t="s">
        <v>260</v>
      </c>
      <c r="G75" s="48" t="s">
        <v>572</v>
      </c>
      <c r="H75" s="48" t="str">
        <f t="shared" si="2"/>
        <v xml:space="preserve">RO1    </v>
      </c>
      <c r="I75" s="48" t="s">
        <v>28</v>
      </c>
      <c r="J75" s="48"/>
      <c r="K75" s="48"/>
      <c r="L75" s="48"/>
      <c r="M75" s="48"/>
      <c r="N75" s="48" t="s">
        <v>261</v>
      </c>
      <c r="O75" s="48" t="s">
        <v>50</v>
      </c>
      <c r="P75" s="48" t="s">
        <v>444</v>
      </c>
      <c r="Q75" s="48" t="s">
        <v>383</v>
      </c>
      <c r="R75" s="48" t="s">
        <v>573</v>
      </c>
      <c r="S75" s="48" t="s">
        <v>224</v>
      </c>
      <c r="T75" s="48" t="s">
        <v>574</v>
      </c>
      <c r="U75" s="25" t="s">
        <v>567</v>
      </c>
      <c r="V75" s="15" t="s">
        <v>575</v>
      </c>
      <c r="W75" s="38" t="s">
        <v>1422</v>
      </c>
      <c r="X75" s="15" t="s">
        <v>1229</v>
      </c>
      <c r="Y75" t="s">
        <v>1147</v>
      </c>
      <c r="Z75" s="15" t="s">
        <v>1348</v>
      </c>
      <c r="AA75" s="38" t="s">
        <v>1425</v>
      </c>
      <c r="AB75" s="38" t="s">
        <v>1428</v>
      </c>
    </row>
    <row r="76" spans="1:28" ht="45" customHeight="1" x14ac:dyDescent="0.25">
      <c r="A76" s="48" t="s">
        <v>576</v>
      </c>
      <c r="B76" s="6" t="s">
        <v>42</v>
      </c>
      <c r="C76" s="48" t="s">
        <v>577</v>
      </c>
      <c r="D76" s="48" t="s">
        <v>578</v>
      </c>
      <c r="E76" s="52" t="s">
        <v>60</v>
      </c>
      <c r="F76" s="4" t="s">
        <v>26</v>
      </c>
      <c r="G76" s="48" t="s">
        <v>579</v>
      </c>
      <c r="H76" s="48" t="str">
        <f t="shared" si="2"/>
        <v xml:space="preserve">RO1   RO4 </v>
      </c>
      <c r="I76" s="48" t="s">
        <v>28</v>
      </c>
      <c r="J76" s="48"/>
      <c r="K76" s="48"/>
      <c r="L76" s="48" t="s">
        <v>30</v>
      </c>
      <c r="M76" s="48"/>
      <c r="N76" s="48" t="s">
        <v>74</v>
      </c>
      <c r="O76" s="48" t="s">
        <v>63</v>
      </c>
      <c r="P76" s="48" t="s">
        <v>444</v>
      </c>
      <c r="Q76" s="48" t="s">
        <v>222</v>
      </c>
      <c r="R76" s="48" t="s">
        <v>580</v>
      </c>
      <c r="S76" s="48" t="s">
        <v>67</v>
      </c>
      <c r="T76" s="48" t="s">
        <v>581</v>
      </c>
      <c r="U76" s="25" t="s">
        <v>567</v>
      </c>
      <c r="V76" s="61" t="s">
        <v>582</v>
      </c>
      <c r="W76" s="38" t="s">
        <v>1422</v>
      </c>
      <c r="X76" s="15" t="s">
        <v>1229</v>
      </c>
      <c r="Y76" t="s">
        <v>1147</v>
      </c>
      <c r="Z76" s="15" t="s">
        <v>1257</v>
      </c>
      <c r="AA76" s="38" t="s">
        <v>1425</v>
      </c>
      <c r="AB76" s="38" t="s">
        <v>1428</v>
      </c>
    </row>
    <row r="77" spans="1:28" ht="45" customHeight="1" x14ac:dyDescent="0.25">
      <c r="A77" s="48" t="s">
        <v>583</v>
      </c>
      <c r="B77" s="7" t="s">
        <v>72</v>
      </c>
      <c r="C77" s="48" t="s">
        <v>584</v>
      </c>
      <c r="D77" s="48" t="s">
        <v>1473</v>
      </c>
      <c r="E77" s="52" t="s">
        <v>303</v>
      </c>
      <c r="F77" s="4" t="s">
        <v>1474</v>
      </c>
      <c r="G77" s="48" t="s">
        <v>585</v>
      </c>
      <c r="H77" s="48" t="str">
        <f t="shared" si="2"/>
        <v xml:space="preserve">RO1    </v>
      </c>
      <c r="I77" s="48" t="s">
        <v>28</v>
      </c>
      <c r="J77" s="48"/>
      <c r="K77" s="48"/>
      <c r="L77" s="48"/>
      <c r="M77" s="48"/>
      <c r="N77" s="48" t="s">
        <v>63</v>
      </c>
      <c r="O77" s="48" t="s">
        <v>63</v>
      </c>
      <c r="P77" s="48" t="s">
        <v>444</v>
      </c>
      <c r="Q77" s="48" t="s">
        <v>543</v>
      </c>
      <c r="R77" s="48" t="s">
        <v>586</v>
      </c>
      <c r="S77" s="48" t="s">
        <v>224</v>
      </c>
      <c r="T77" s="48" t="s">
        <v>587</v>
      </c>
      <c r="U77" s="25" t="s">
        <v>567</v>
      </c>
      <c r="V77" s="61" t="s">
        <v>588</v>
      </c>
      <c r="W77" s="38" t="s">
        <v>1422</v>
      </c>
      <c r="X77" s="15" t="s">
        <v>1229</v>
      </c>
      <c r="Y77" t="s">
        <v>1147</v>
      </c>
      <c r="Z77" s="15" t="s">
        <v>1349</v>
      </c>
      <c r="AA77" s="15" t="s">
        <v>1427</v>
      </c>
      <c r="AB77" s="15" t="s">
        <v>1429</v>
      </c>
    </row>
    <row r="78" spans="1:28" ht="45" customHeight="1" x14ac:dyDescent="0.25">
      <c r="A78" s="48" t="s">
        <v>589</v>
      </c>
      <c r="B78" s="12" t="s">
        <v>1163</v>
      </c>
      <c r="C78" s="48" t="s">
        <v>590</v>
      </c>
      <c r="D78" s="48" t="s">
        <v>1307</v>
      </c>
      <c r="E78" s="52" t="s">
        <v>60</v>
      </c>
      <c r="F78" s="4" t="s">
        <v>26</v>
      </c>
      <c r="G78" s="48" t="s">
        <v>579</v>
      </c>
      <c r="H78" s="48" t="str">
        <f t="shared" si="2"/>
        <v xml:space="preserve">RO1    </v>
      </c>
      <c r="I78" s="48" t="s">
        <v>28</v>
      </c>
      <c r="J78" s="48"/>
      <c r="K78" s="48"/>
      <c r="L78" s="48"/>
      <c r="M78" s="48"/>
      <c r="N78" s="48" t="s">
        <v>336</v>
      </c>
      <c r="O78" s="48" t="s">
        <v>63</v>
      </c>
      <c r="P78" s="48" t="s">
        <v>444</v>
      </c>
      <c r="Q78" s="48" t="s">
        <v>543</v>
      </c>
      <c r="R78" s="48" t="s">
        <v>591</v>
      </c>
      <c r="S78" s="48" t="s">
        <v>67</v>
      </c>
      <c r="T78" s="48" t="s">
        <v>592</v>
      </c>
      <c r="U78" s="34" t="s">
        <v>567</v>
      </c>
      <c r="V78" s="15" t="s">
        <v>593</v>
      </c>
      <c r="W78" s="38" t="s">
        <v>1422</v>
      </c>
      <c r="X78" s="15" t="s">
        <v>1229</v>
      </c>
      <c r="Y78" t="s">
        <v>1147</v>
      </c>
      <c r="Z78" s="15" t="s">
        <v>1290</v>
      </c>
      <c r="AA78" s="38" t="s">
        <v>1425</v>
      </c>
      <c r="AB78" s="38" t="s">
        <v>1428</v>
      </c>
    </row>
    <row r="79" spans="1:28" ht="45" customHeight="1" x14ac:dyDescent="0.25">
      <c r="A79" s="48" t="s">
        <v>594</v>
      </c>
      <c r="B79" s="7" t="s">
        <v>72</v>
      </c>
      <c r="C79" s="48" t="s">
        <v>595</v>
      </c>
      <c r="D79" s="48" t="s">
        <v>596</v>
      </c>
      <c r="E79" s="52" t="s">
        <v>60</v>
      </c>
      <c r="F79" s="4" t="s">
        <v>26</v>
      </c>
      <c r="G79" s="48" t="s">
        <v>597</v>
      </c>
      <c r="H79" s="48" t="str">
        <f t="shared" si="2"/>
        <v xml:space="preserve">RO1    </v>
      </c>
      <c r="I79" s="48" t="s">
        <v>28</v>
      </c>
      <c r="J79" s="48"/>
      <c r="K79" s="48"/>
      <c r="L79" s="48"/>
      <c r="M79" s="48"/>
      <c r="N79" s="48" t="s">
        <v>63</v>
      </c>
      <c r="O79" s="48" t="s">
        <v>63</v>
      </c>
      <c r="P79" s="48" t="s">
        <v>598</v>
      </c>
      <c r="Q79" s="48" t="s">
        <v>504</v>
      </c>
      <c r="R79" s="48" t="s">
        <v>599</v>
      </c>
      <c r="S79" s="48" t="s">
        <v>67</v>
      </c>
      <c r="T79" s="48" t="s">
        <v>600</v>
      </c>
      <c r="U79" s="25" t="s">
        <v>567</v>
      </c>
      <c r="V79" s="53" t="s">
        <v>601</v>
      </c>
      <c r="W79" s="38" t="s">
        <v>1422</v>
      </c>
      <c r="X79" s="15" t="s">
        <v>1229</v>
      </c>
      <c r="Y79" t="s">
        <v>1147</v>
      </c>
      <c r="Z79" s="15" t="s">
        <v>1350</v>
      </c>
      <c r="AA79" s="38" t="s">
        <v>1425</v>
      </c>
      <c r="AB79" s="38" t="s">
        <v>1428</v>
      </c>
    </row>
    <row r="80" spans="1:28" s="24" customFormat="1" ht="45" customHeight="1" x14ac:dyDescent="0.25">
      <c r="A80" s="48" t="s">
        <v>602</v>
      </c>
      <c r="B80" s="12" t="s">
        <v>1163</v>
      </c>
      <c r="C80" s="48" t="s">
        <v>603</v>
      </c>
      <c r="D80" s="48" t="s">
        <v>604</v>
      </c>
      <c r="E80" s="52" t="s">
        <v>60</v>
      </c>
      <c r="F80" s="23" t="s">
        <v>404</v>
      </c>
      <c r="G80" s="48" t="s">
        <v>585</v>
      </c>
      <c r="H80" s="48" t="str">
        <f t="shared" si="2"/>
        <v xml:space="preserve">RO1   RO4 </v>
      </c>
      <c r="I80" s="48" t="s">
        <v>28</v>
      </c>
      <c r="J80" s="48"/>
      <c r="K80" s="48"/>
      <c r="L80" s="48" t="s">
        <v>30</v>
      </c>
      <c r="M80" s="48"/>
      <c r="N80" s="48" t="s">
        <v>63</v>
      </c>
      <c r="O80" s="48" t="s">
        <v>63</v>
      </c>
      <c r="P80" s="48" t="s">
        <v>605</v>
      </c>
      <c r="Q80" s="48" t="s">
        <v>606</v>
      </c>
      <c r="R80" s="48" t="s">
        <v>607</v>
      </c>
      <c r="S80" s="48" t="s">
        <v>224</v>
      </c>
      <c r="T80" s="48" t="s">
        <v>608</v>
      </c>
      <c r="U80" s="34" t="s">
        <v>1182</v>
      </c>
      <c r="V80" s="61" t="s">
        <v>609</v>
      </c>
      <c r="W80" s="38" t="s">
        <v>1422</v>
      </c>
      <c r="X80" s="15" t="s">
        <v>1229</v>
      </c>
      <c r="Y80" s="15" t="s">
        <v>1146</v>
      </c>
      <c r="Z80" s="36" t="s">
        <v>1291</v>
      </c>
      <c r="AA80" s="38" t="s">
        <v>1425</v>
      </c>
      <c r="AB80" s="38" t="s">
        <v>1428</v>
      </c>
    </row>
    <row r="81" spans="1:28" ht="45" customHeight="1" x14ac:dyDescent="0.25">
      <c r="A81" s="48" t="s">
        <v>610</v>
      </c>
      <c r="B81" s="6" t="s">
        <v>42</v>
      </c>
      <c r="C81" s="48" t="s">
        <v>611</v>
      </c>
      <c r="D81" s="48" t="s">
        <v>612</v>
      </c>
      <c r="E81" s="52">
        <v>2026</v>
      </c>
      <c r="F81" s="4" t="s">
        <v>613</v>
      </c>
      <c r="G81" s="48" t="s">
        <v>614</v>
      </c>
      <c r="H81" s="48" t="str">
        <f t="shared" si="2"/>
        <v xml:space="preserve"> RO2  RO4 </v>
      </c>
      <c r="I81" s="48"/>
      <c r="J81" s="48" t="s">
        <v>29</v>
      </c>
      <c r="K81" s="48"/>
      <c r="L81" s="48" t="s">
        <v>30</v>
      </c>
      <c r="M81" s="48"/>
      <c r="N81" s="48" t="s">
        <v>615</v>
      </c>
      <c r="O81" s="48" t="s">
        <v>63</v>
      </c>
      <c r="P81" s="48" t="s">
        <v>616</v>
      </c>
      <c r="Q81" s="48" t="s">
        <v>107</v>
      </c>
      <c r="R81" s="48" t="s">
        <v>617</v>
      </c>
      <c r="S81" s="48" t="s">
        <v>565</v>
      </c>
      <c r="T81" s="48" t="s">
        <v>1467</v>
      </c>
      <c r="U81" s="25" t="s">
        <v>567</v>
      </c>
      <c r="V81" s="15" t="s">
        <v>618</v>
      </c>
      <c r="W81" s="38" t="s">
        <v>1422</v>
      </c>
      <c r="X81" s="15" t="s">
        <v>1229</v>
      </c>
      <c r="Y81" t="s">
        <v>1147</v>
      </c>
      <c r="Z81" s="15" t="s">
        <v>1258</v>
      </c>
      <c r="AA81" s="15" t="s">
        <v>1427</v>
      </c>
      <c r="AB81" s="15" t="s">
        <v>1429</v>
      </c>
    </row>
    <row r="82" spans="1:28" ht="45" customHeight="1" x14ac:dyDescent="0.25">
      <c r="A82" s="48" t="s">
        <v>619</v>
      </c>
      <c r="B82" s="12" t="s">
        <v>1163</v>
      </c>
      <c r="C82" s="48" t="s">
        <v>620</v>
      </c>
      <c r="D82" s="48" t="s">
        <v>621</v>
      </c>
      <c r="E82" s="52" t="s">
        <v>303</v>
      </c>
      <c r="F82" s="4" t="s">
        <v>26</v>
      </c>
      <c r="G82" s="48" t="s">
        <v>614</v>
      </c>
      <c r="H82" s="48" t="str">
        <f t="shared" si="2"/>
        <v xml:space="preserve">RO1    </v>
      </c>
      <c r="I82" s="48" t="s">
        <v>28</v>
      </c>
      <c r="J82" s="48"/>
      <c r="K82" s="48"/>
      <c r="L82" s="48"/>
      <c r="M82" s="48"/>
      <c r="N82" s="48" t="s">
        <v>622</v>
      </c>
      <c r="O82" s="48" t="s">
        <v>623</v>
      </c>
      <c r="P82" s="48" t="s">
        <v>616</v>
      </c>
      <c r="Q82" s="48" t="s">
        <v>624</v>
      </c>
      <c r="R82" s="48" t="s">
        <v>625</v>
      </c>
      <c r="S82" s="48" t="s">
        <v>565</v>
      </c>
      <c r="T82" s="48" t="s">
        <v>626</v>
      </c>
      <c r="U82" s="34" t="s">
        <v>1191</v>
      </c>
      <c r="V82" s="15" t="s">
        <v>627</v>
      </c>
      <c r="W82" s="15" t="s">
        <v>1226</v>
      </c>
      <c r="X82" s="15" t="s">
        <v>1229</v>
      </c>
      <c r="Y82" s="15" t="s">
        <v>1143</v>
      </c>
      <c r="Z82" s="15" t="s">
        <v>1301</v>
      </c>
      <c r="AA82" s="38" t="s">
        <v>1425</v>
      </c>
      <c r="AB82" s="38" t="s">
        <v>1428</v>
      </c>
    </row>
    <row r="83" spans="1:28" ht="45" customHeight="1" x14ac:dyDescent="0.25">
      <c r="A83" s="48" t="s">
        <v>628</v>
      </c>
      <c r="B83" s="7" t="s">
        <v>72</v>
      </c>
      <c r="C83" s="48" t="s">
        <v>629</v>
      </c>
      <c r="D83" s="48" t="s">
        <v>630</v>
      </c>
      <c r="E83" s="52" t="s">
        <v>60</v>
      </c>
      <c r="F83" s="4" t="s">
        <v>631</v>
      </c>
      <c r="G83" s="48" t="s">
        <v>614</v>
      </c>
      <c r="H83" s="48" t="str">
        <f t="shared" si="2"/>
        <v xml:space="preserve">RO1    </v>
      </c>
      <c r="I83" s="48" t="s">
        <v>28</v>
      </c>
      <c r="J83" s="48"/>
      <c r="K83" s="48"/>
      <c r="L83" s="48"/>
      <c r="M83" s="48"/>
      <c r="N83" s="48" t="s">
        <v>615</v>
      </c>
      <c r="O83" s="48" t="s">
        <v>632</v>
      </c>
      <c r="P83" s="48" t="s">
        <v>616</v>
      </c>
      <c r="Q83" s="48" t="s">
        <v>543</v>
      </c>
      <c r="R83" s="48" t="s">
        <v>633</v>
      </c>
      <c r="S83" s="48" t="s">
        <v>565</v>
      </c>
      <c r="T83" s="48" t="s">
        <v>634</v>
      </c>
      <c r="U83" s="28" t="s">
        <v>635</v>
      </c>
      <c r="V83" s="63" t="s">
        <v>636</v>
      </c>
      <c r="W83" s="38" t="s">
        <v>1422</v>
      </c>
      <c r="X83" s="15" t="s">
        <v>1231</v>
      </c>
      <c r="Y83" s="19" t="s">
        <v>1407</v>
      </c>
      <c r="Z83" s="15" t="s">
        <v>1386</v>
      </c>
      <c r="AA83" s="38" t="s">
        <v>1425</v>
      </c>
      <c r="AB83" s="38" t="s">
        <v>1428</v>
      </c>
    </row>
    <row r="84" spans="1:28" ht="45" customHeight="1" x14ac:dyDescent="0.25">
      <c r="A84" s="48" t="s">
        <v>637</v>
      </c>
      <c r="B84" s="7" t="s">
        <v>72</v>
      </c>
      <c r="C84" s="48" t="s">
        <v>638</v>
      </c>
      <c r="D84" s="48" t="s">
        <v>639</v>
      </c>
      <c r="E84" s="52" t="s">
        <v>60</v>
      </c>
      <c r="F84" s="4" t="s">
        <v>26</v>
      </c>
      <c r="G84" s="48" t="s">
        <v>585</v>
      </c>
      <c r="H84" s="48" t="str">
        <f t="shared" si="2"/>
        <v xml:space="preserve"> RO2   </v>
      </c>
      <c r="I84" s="48"/>
      <c r="J84" s="48" t="s">
        <v>29</v>
      </c>
      <c r="K84" s="48"/>
      <c r="L84" s="48"/>
      <c r="M84" s="48"/>
      <c r="N84" s="48" t="s">
        <v>63</v>
      </c>
      <c r="O84" s="48" t="s">
        <v>63</v>
      </c>
      <c r="P84" s="48" t="s">
        <v>444</v>
      </c>
      <c r="Q84" s="48" t="s">
        <v>640</v>
      </c>
      <c r="R84" s="48" t="s">
        <v>641</v>
      </c>
      <c r="S84" s="48" t="s">
        <v>224</v>
      </c>
      <c r="T84" s="48" t="s">
        <v>642</v>
      </c>
      <c r="U84" s="25" t="s">
        <v>567</v>
      </c>
      <c r="V84" s="63" t="s">
        <v>643</v>
      </c>
      <c r="W84" s="38" t="s">
        <v>1422</v>
      </c>
      <c r="X84" s="15" t="s">
        <v>1229</v>
      </c>
      <c r="Y84" t="s">
        <v>1147</v>
      </c>
      <c r="Z84" s="15" t="s">
        <v>1351</v>
      </c>
      <c r="AA84" s="38" t="s">
        <v>1425</v>
      </c>
      <c r="AB84" s="38" t="s">
        <v>1428</v>
      </c>
    </row>
    <row r="85" spans="1:28" ht="45" customHeight="1" x14ac:dyDescent="0.25">
      <c r="A85" s="48" t="s">
        <v>644</v>
      </c>
      <c r="B85" s="7" t="s">
        <v>72</v>
      </c>
      <c r="C85" s="48" t="s">
        <v>645</v>
      </c>
      <c r="D85" s="48" t="s">
        <v>646</v>
      </c>
      <c r="E85" s="52" t="s">
        <v>303</v>
      </c>
      <c r="F85" s="4" t="s">
        <v>1273</v>
      </c>
      <c r="G85" s="48" t="s">
        <v>562</v>
      </c>
      <c r="H85" s="48" t="str">
        <f t="shared" si="2"/>
        <v xml:space="preserve">RO1    </v>
      </c>
      <c r="I85" s="48" t="s">
        <v>28</v>
      </c>
      <c r="J85" s="48"/>
      <c r="K85" s="48"/>
      <c r="L85" s="48"/>
      <c r="M85" s="48"/>
      <c r="N85" s="48" t="s">
        <v>74</v>
      </c>
      <c r="O85" s="48" t="s">
        <v>75</v>
      </c>
      <c r="P85" s="48" t="s">
        <v>647</v>
      </c>
      <c r="Q85" s="48" t="s">
        <v>543</v>
      </c>
      <c r="R85" s="48" t="s">
        <v>648</v>
      </c>
      <c r="S85" s="48" t="s">
        <v>67</v>
      </c>
      <c r="T85" s="48" t="s">
        <v>1470</v>
      </c>
      <c r="U85" s="25" t="s">
        <v>567</v>
      </c>
      <c r="V85" s="53" t="s">
        <v>649</v>
      </c>
      <c r="W85" s="38" t="s">
        <v>1422</v>
      </c>
      <c r="X85" s="15" t="s">
        <v>1229</v>
      </c>
      <c r="Y85" t="s">
        <v>1147</v>
      </c>
      <c r="Z85" s="15" t="s">
        <v>1352</v>
      </c>
      <c r="AA85" s="38" t="s">
        <v>1425</v>
      </c>
      <c r="AB85" s="38" t="s">
        <v>1428</v>
      </c>
    </row>
    <row r="86" spans="1:28" ht="45" customHeight="1" x14ac:dyDescent="0.25">
      <c r="A86" s="48" t="s">
        <v>650</v>
      </c>
      <c r="B86" s="12" t="s">
        <v>1163</v>
      </c>
      <c r="C86" s="48" t="s">
        <v>651</v>
      </c>
      <c r="D86" s="48" t="s">
        <v>652</v>
      </c>
      <c r="E86" s="52" t="s">
        <v>60</v>
      </c>
      <c r="F86" s="4" t="s">
        <v>404</v>
      </c>
      <c r="G86" s="48" t="s">
        <v>579</v>
      </c>
      <c r="H86" s="48" t="str">
        <f t="shared" si="2"/>
        <v xml:space="preserve"> RO2   </v>
      </c>
      <c r="I86" s="48"/>
      <c r="J86" s="48" t="s">
        <v>29</v>
      </c>
      <c r="K86" s="48"/>
      <c r="L86" s="48"/>
      <c r="M86" s="48"/>
      <c r="N86" s="48" t="s">
        <v>63</v>
      </c>
      <c r="O86" s="48" t="s">
        <v>63</v>
      </c>
      <c r="P86" s="48" t="s">
        <v>444</v>
      </c>
      <c r="Q86" s="48" t="s">
        <v>653</v>
      </c>
      <c r="R86" s="48" t="s">
        <v>654</v>
      </c>
      <c r="S86" s="48" t="s">
        <v>67</v>
      </c>
      <c r="T86" s="48" t="s">
        <v>655</v>
      </c>
      <c r="U86" s="34" t="s">
        <v>1176</v>
      </c>
      <c r="V86" s="15" t="s">
        <v>656</v>
      </c>
      <c r="W86" s="38" t="s">
        <v>1422</v>
      </c>
      <c r="X86" s="37" t="s">
        <v>1229</v>
      </c>
      <c r="Y86" s="37" t="s">
        <v>1146</v>
      </c>
      <c r="Z86" s="15" t="s">
        <v>1292</v>
      </c>
      <c r="AA86" s="38" t="s">
        <v>1425</v>
      </c>
      <c r="AB86" s="38" t="s">
        <v>1428</v>
      </c>
    </row>
    <row r="87" spans="1:28" ht="45" customHeight="1" x14ac:dyDescent="0.25">
      <c r="A87" s="48" t="s">
        <v>657</v>
      </c>
      <c r="B87" s="2" t="s">
        <v>23</v>
      </c>
      <c r="C87" s="48" t="s">
        <v>658</v>
      </c>
      <c r="D87" s="48" t="s">
        <v>659</v>
      </c>
      <c r="E87" s="52" t="s">
        <v>45</v>
      </c>
      <c r="F87" s="9" t="s">
        <v>26</v>
      </c>
      <c r="G87" s="48" t="s">
        <v>474</v>
      </c>
      <c r="H87" s="48" t="str">
        <f t="shared" si="2"/>
        <v>RO1  RO3  RO5</v>
      </c>
      <c r="I87" s="48" t="s">
        <v>28</v>
      </c>
      <c r="J87" s="48"/>
      <c r="K87" s="48" t="s">
        <v>48</v>
      </c>
      <c r="L87" s="48"/>
      <c r="M87" s="48" t="s">
        <v>31</v>
      </c>
      <c r="N87" s="48" t="s">
        <v>118</v>
      </c>
      <c r="O87" s="48" t="s">
        <v>75</v>
      </c>
      <c r="P87" s="48" t="s">
        <v>51</v>
      </c>
      <c r="Q87" s="48" t="s">
        <v>421</v>
      </c>
      <c r="R87" s="48" t="s">
        <v>660</v>
      </c>
      <c r="S87" s="48" t="s">
        <v>476</v>
      </c>
      <c r="T87" s="48" t="s">
        <v>661</v>
      </c>
      <c r="U87" s="25" t="s">
        <v>141</v>
      </c>
      <c r="V87" s="15" t="s">
        <v>662</v>
      </c>
      <c r="W87" s="38" t="s">
        <v>1422</v>
      </c>
      <c r="X87" s="15" t="s">
        <v>1229</v>
      </c>
      <c r="Y87" t="s">
        <v>1147</v>
      </c>
      <c r="Z87" s="15" t="s">
        <v>1318</v>
      </c>
      <c r="AA87" s="15" t="s">
        <v>1427</v>
      </c>
      <c r="AB87" s="15" t="s">
        <v>1429</v>
      </c>
    </row>
    <row r="88" spans="1:28" ht="45" customHeight="1" x14ac:dyDescent="0.25">
      <c r="A88" s="13" t="s">
        <v>663</v>
      </c>
      <c r="B88" s="42" t="s">
        <v>42</v>
      </c>
      <c r="C88" s="48" t="s">
        <v>664</v>
      </c>
      <c r="D88" s="48" t="s">
        <v>665</v>
      </c>
      <c r="E88" s="52" t="s">
        <v>45</v>
      </c>
      <c r="F88" s="9" t="s">
        <v>26</v>
      </c>
      <c r="G88" s="48" t="s">
        <v>666</v>
      </c>
      <c r="H88" s="48" t="str">
        <f t="shared" si="2"/>
        <v xml:space="preserve">  RO3  RO5</v>
      </c>
      <c r="I88" s="48"/>
      <c r="J88" s="48"/>
      <c r="K88" s="48" t="s">
        <v>48</v>
      </c>
      <c r="L88" s="48"/>
      <c r="M88" s="48" t="s">
        <v>31</v>
      </c>
      <c r="N88" s="48" t="s">
        <v>75</v>
      </c>
      <c r="O88" s="48" t="s">
        <v>50</v>
      </c>
      <c r="P88" s="48" t="s">
        <v>51</v>
      </c>
      <c r="Q88" s="48" t="s">
        <v>667</v>
      </c>
      <c r="R88" s="48" t="s">
        <v>668</v>
      </c>
      <c r="S88" s="48" t="s">
        <v>67</v>
      </c>
      <c r="T88" s="48" t="s">
        <v>669</v>
      </c>
      <c r="U88" s="30" t="s">
        <v>670</v>
      </c>
      <c r="V88" s="19" t="s">
        <v>671</v>
      </c>
      <c r="W88" s="38" t="s">
        <v>1422</v>
      </c>
      <c r="X88" s="15" t="s">
        <v>1229</v>
      </c>
      <c r="Y88" t="s">
        <v>1147</v>
      </c>
      <c r="Z88" s="15" t="s">
        <v>1259</v>
      </c>
      <c r="AA88" s="15" t="s">
        <v>1427</v>
      </c>
      <c r="AB88" s="15" t="s">
        <v>1429</v>
      </c>
    </row>
    <row r="89" spans="1:28" ht="45" customHeight="1" x14ac:dyDescent="0.25">
      <c r="A89" s="48" t="s">
        <v>672</v>
      </c>
      <c r="B89" s="2" t="s">
        <v>23</v>
      </c>
      <c r="C89" s="48" t="s">
        <v>673</v>
      </c>
      <c r="D89" s="48" t="s">
        <v>674</v>
      </c>
      <c r="E89" s="52" t="s">
        <v>60</v>
      </c>
      <c r="F89" s="9" t="s">
        <v>26</v>
      </c>
      <c r="G89" s="48" t="s">
        <v>675</v>
      </c>
      <c r="H89" s="48" t="str">
        <f t="shared" si="2"/>
        <v xml:space="preserve">  RO3 RO4 RO5</v>
      </c>
      <c r="I89" s="48"/>
      <c r="J89" s="48"/>
      <c r="K89" s="48" t="s">
        <v>48</v>
      </c>
      <c r="L89" s="48" t="s">
        <v>30</v>
      </c>
      <c r="M89" s="48" t="s">
        <v>31</v>
      </c>
      <c r="N89" s="48" t="s">
        <v>74</v>
      </c>
      <c r="O89" s="48" t="s">
        <v>75</v>
      </c>
      <c r="P89" s="48" t="s">
        <v>676</v>
      </c>
      <c r="Q89" s="48" t="s">
        <v>677</v>
      </c>
      <c r="R89" s="48" t="s">
        <v>678</v>
      </c>
      <c r="S89" s="48" t="s">
        <v>67</v>
      </c>
      <c r="T89" s="48" t="s">
        <v>679</v>
      </c>
      <c r="U89" s="25" t="s">
        <v>1196</v>
      </c>
      <c r="V89" s="19" t="s">
        <v>680</v>
      </c>
      <c r="W89" s="38" t="s">
        <v>1422</v>
      </c>
      <c r="X89" s="37" t="s">
        <v>1230</v>
      </c>
      <c r="Y89" s="37" t="s">
        <v>1173</v>
      </c>
      <c r="Z89" s="15" t="s">
        <v>1319</v>
      </c>
      <c r="AA89" s="15" t="s">
        <v>1427</v>
      </c>
      <c r="AB89" s="15" t="s">
        <v>1429</v>
      </c>
    </row>
    <row r="90" spans="1:28" ht="86" customHeight="1" x14ac:dyDescent="0.25">
      <c r="A90" s="13" t="s">
        <v>681</v>
      </c>
      <c r="B90" s="42" t="s">
        <v>42</v>
      </c>
      <c r="C90" s="48" t="s">
        <v>682</v>
      </c>
      <c r="D90" s="48" t="s">
        <v>1508</v>
      </c>
      <c r="E90" s="52">
        <v>2026</v>
      </c>
      <c r="F90" s="9" t="s">
        <v>1474</v>
      </c>
      <c r="G90" s="48" t="s">
        <v>683</v>
      </c>
      <c r="H90" s="48" t="str">
        <f t="shared" si="2"/>
        <v xml:space="preserve">  RO3  RO5</v>
      </c>
      <c r="I90" s="48"/>
      <c r="J90" s="48"/>
      <c r="K90" s="48" t="s">
        <v>48</v>
      </c>
      <c r="L90" s="48"/>
      <c r="M90" s="48" t="s">
        <v>31</v>
      </c>
      <c r="N90" s="48" t="s">
        <v>74</v>
      </c>
      <c r="O90" s="48" t="s">
        <v>75</v>
      </c>
      <c r="P90" s="48" t="s">
        <v>51</v>
      </c>
      <c r="Q90" s="48" t="s">
        <v>77</v>
      </c>
      <c r="R90" s="48" t="s">
        <v>684</v>
      </c>
      <c r="S90" s="48" t="s">
        <v>67</v>
      </c>
      <c r="T90" s="48" t="s">
        <v>685</v>
      </c>
      <c r="U90" s="30" t="s">
        <v>670</v>
      </c>
      <c r="V90" s="20" t="s">
        <v>686</v>
      </c>
      <c r="W90" s="38" t="s">
        <v>1422</v>
      </c>
      <c r="X90" s="15" t="s">
        <v>1229</v>
      </c>
      <c r="Y90" t="s">
        <v>1147</v>
      </c>
      <c r="Z90" s="15" t="s">
        <v>1260</v>
      </c>
      <c r="AA90" s="15" t="s">
        <v>1427</v>
      </c>
      <c r="AB90" s="15" t="s">
        <v>1429</v>
      </c>
    </row>
    <row r="91" spans="1:28" ht="45" customHeight="1" x14ac:dyDescent="0.25">
      <c r="A91" s="48" t="s">
        <v>687</v>
      </c>
      <c r="B91" s="6" t="s">
        <v>42</v>
      </c>
      <c r="C91" s="48" t="s">
        <v>1174</v>
      </c>
      <c r="D91" s="48" t="s">
        <v>1510</v>
      </c>
      <c r="E91" s="52" t="s">
        <v>60</v>
      </c>
      <c r="F91" s="9" t="s">
        <v>84</v>
      </c>
      <c r="G91" s="48" t="s">
        <v>688</v>
      </c>
      <c r="H91" s="48" t="str">
        <f t="shared" si="2"/>
        <v xml:space="preserve">  RO3 RO4 </v>
      </c>
      <c r="I91" s="48"/>
      <c r="J91" s="48"/>
      <c r="K91" s="48" t="s">
        <v>48</v>
      </c>
      <c r="L91" s="48" t="s">
        <v>30</v>
      </c>
      <c r="M91" s="48"/>
      <c r="N91" s="48" t="s">
        <v>49</v>
      </c>
      <c r="O91" s="48" t="s">
        <v>50</v>
      </c>
      <c r="P91" s="48" t="s">
        <v>689</v>
      </c>
      <c r="Q91" s="48" t="s">
        <v>690</v>
      </c>
      <c r="R91" s="48" t="s">
        <v>691</v>
      </c>
      <c r="S91" s="48" t="s">
        <v>67</v>
      </c>
      <c r="T91" s="48" t="s">
        <v>692</v>
      </c>
      <c r="U91" s="28" t="s">
        <v>1194</v>
      </c>
      <c r="V91" s="63" t="s">
        <v>693</v>
      </c>
      <c r="W91" s="38" t="s">
        <v>1422</v>
      </c>
      <c r="X91" s="15" t="s">
        <v>1229</v>
      </c>
      <c r="Y91" t="s">
        <v>1147</v>
      </c>
      <c r="Z91" s="15" t="s">
        <v>1261</v>
      </c>
      <c r="AA91" s="15" t="s">
        <v>1427</v>
      </c>
      <c r="AB91" s="15" t="s">
        <v>1429</v>
      </c>
    </row>
    <row r="92" spans="1:28" ht="45" customHeight="1" x14ac:dyDescent="0.25">
      <c r="A92" s="48" t="s">
        <v>694</v>
      </c>
      <c r="B92" s="7" t="s">
        <v>72</v>
      </c>
      <c r="C92" s="48" t="s">
        <v>695</v>
      </c>
      <c r="D92" s="48" t="s">
        <v>696</v>
      </c>
      <c r="E92" s="52" t="s">
        <v>45</v>
      </c>
      <c r="F92" s="9" t="s">
        <v>26</v>
      </c>
      <c r="G92" s="48" t="s">
        <v>697</v>
      </c>
      <c r="H92" s="48" t="str">
        <f t="shared" si="2"/>
        <v xml:space="preserve">  RO3  </v>
      </c>
      <c r="I92" s="48"/>
      <c r="J92" s="48"/>
      <c r="K92" s="48" t="s">
        <v>48</v>
      </c>
      <c r="L92" s="48"/>
      <c r="M92" s="48"/>
      <c r="N92" s="48" t="s">
        <v>698</v>
      </c>
      <c r="O92" s="48" t="s">
        <v>50</v>
      </c>
      <c r="P92" s="48" t="s">
        <v>699</v>
      </c>
      <c r="Q92" s="48" t="s">
        <v>677</v>
      </c>
      <c r="R92" s="48" t="s">
        <v>700</v>
      </c>
      <c r="S92" s="48" t="s">
        <v>701</v>
      </c>
      <c r="T92" s="48" t="s">
        <v>702</v>
      </c>
      <c r="U92" s="25" t="s">
        <v>703</v>
      </c>
      <c r="V92" s="15" t="s">
        <v>704</v>
      </c>
      <c r="W92" s="38" t="s">
        <v>1422</v>
      </c>
      <c r="X92" s="15" t="s">
        <v>1229</v>
      </c>
      <c r="Y92" t="s">
        <v>1147</v>
      </c>
      <c r="Z92" s="15" t="s">
        <v>1375</v>
      </c>
      <c r="AA92" s="15" t="s">
        <v>1427</v>
      </c>
      <c r="AB92" s="15" t="s">
        <v>1429</v>
      </c>
    </row>
    <row r="93" spans="1:28" ht="45" customHeight="1" x14ac:dyDescent="0.25">
      <c r="A93" s="48" t="s">
        <v>705</v>
      </c>
      <c r="B93" s="7" t="s">
        <v>72</v>
      </c>
      <c r="C93" s="48" t="s">
        <v>706</v>
      </c>
      <c r="D93" s="48" t="s">
        <v>707</v>
      </c>
      <c r="E93" s="52" t="s">
        <v>45</v>
      </c>
      <c r="F93" s="9" t="s">
        <v>26</v>
      </c>
      <c r="G93" s="48" t="s">
        <v>474</v>
      </c>
      <c r="H93" s="48" t="str">
        <f t="shared" si="2"/>
        <v xml:space="preserve">  RO3  </v>
      </c>
      <c r="I93" s="48"/>
      <c r="J93" s="48"/>
      <c r="K93" s="48" t="s">
        <v>48</v>
      </c>
      <c r="L93" s="48"/>
      <c r="M93" s="48"/>
      <c r="N93" s="48" t="s">
        <v>708</v>
      </c>
      <c r="O93" s="48" t="s">
        <v>50</v>
      </c>
      <c r="P93" s="48" t="s">
        <v>709</v>
      </c>
      <c r="Q93" s="48" t="s">
        <v>710</v>
      </c>
      <c r="R93" s="48" t="s">
        <v>711</v>
      </c>
      <c r="S93" s="48" t="s">
        <v>67</v>
      </c>
      <c r="T93" s="48" t="s">
        <v>712</v>
      </c>
      <c r="U93" s="25" t="s">
        <v>703</v>
      </c>
      <c r="V93" s="15" t="s">
        <v>713</v>
      </c>
      <c r="W93" s="38" t="s">
        <v>1422</v>
      </c>
      <c r="X93" s="15" t="s">
        <v>1229</v>
      </c>
      <c r="Y93" t="s">
        <v>1147</v>
      </c>
      <c r="Z93" s="15" t="s">
        <v>1376</v>
      </c>
      <c r="AA93" s="15" t="s">
        <v>1427</v>
      </c>
      <c r="AB93" s="15" t="s">
        <v>1429</v>
      </c>
    </row>
    <row r="94" spans="1:28" ht="45" customHeight="1" x14ac:dyDescent="0.25">
      <c r="A94" s="48" t="s">
        <v>714</v>
      </c>
      <c r="B94" s="7" t="s">
        <v>72</v>
      </c>
      <c r="C94" s="48" t="s">
        <v>715</v>
      </c>
      <c r="D94" s="48" t="s">
        <v>716</v>
      </c>
      <c r="E94" s="52" t="s">
        <v>45</v>
      </c>
      <c r="F94" s="9" t="s">
        <v>1220</v>
      </c>
      <c r="G94" s="48" t="s">
        <v>474</v>
      </c>
      <c r="H94" s="48" t="str">
        <f t="shared" si="2"/>
        <v xml:space="preserve">    RO5</v>
      </c>
      <c r="I94" s="48"/>
      <c r="J94" s="48"/>
      <c r="K94" s="48"/>
      <c r="L94" s="48"/>
      <c r="M94" s="48" t="s">
        <v>31</v>
      </c>
      <c r="N94" s="48" t="s">
        <v>75</v>
      </c>
      <c r="O94" s="48" t="s">
        <v>50</v>
      </c>
      <c r="P94" s="48" t="s">
        <v>717</v>
      </c>
      <c r="Q94" s="48" t="s">
        <v>718</v>
      </c>
      <c r="R94" s="48" t="s">
        <v>719</v>
      </c>
      <c r="S94" s="48" t="s">
        <v>67</v>
      </c>
      <c r="T94" s="48" t="s">
        <v>720</v>
      </c>
      <c r="U94" s="33" t="s">
        <v>1208</v>
      </c>
      <c r="V94" s="20" t="s">
        <v>721</v>
      </c>
      <c r="W94" s="38" t="s">
        <v>1422</v>
      </c>
      <c r="X94" s="15" t="s">
        <v>1230</v>
      </c>
      <c r="Y94" s="38" t="s">
        <v>1147</v>
      </c>
      <c r="Z94" s="15" t="s">
        <v>1377</v>
      </c>
      <c r="AA94" s="38" t="s">
        <v>1425</v>
      </c>
      <c r="AB94" s="38" t="s">
        <v>1428</v>
      </c>
    </row>
    <row r="95" spans="1:28" ht="45" customHeight="1" x14ac:dyDescent="0.25">
      <c r="A95" s="48" t="s">
        <v>722</v>
      </c>
      <c r="B95" s="7" t="s">
        <v>72</v>
      </c>
      <c r="C95" s="48" t="s">
        <v>723</v>
      </c>
      <c r="D95" s="48" t="s">
        <v>724</v>
      </c>
      <c r="E95" s="52" t="s">
        <v>45</v>
      </c>
      <c r="F95" s="9" t="s">
        <v>725</v>
      </c>
      <c r="G95" s="48" t="s">
        <v>726</v>
      </c>
      <c r="H95" s="48" t="str">
        <f t="shared" si="2"/>
        <v xml:space="preserve">RO1  RO3  </v>
      </c>
      <c r="I95" s="48" t="s">
        <v>28</v>
      </c>
      <c r="J95" s="48"/>
      <c r="K95" s="48" t="s">
        <v>48</v>
      </c>
      <c r="L95" s="48"/>
      <c r="M95" s="48"/>
      <c r="N95" s="48" t="s">
        <v>727</v>
      </c>
      <c r="O95" s="48" t="s">
        <v>728</v>
      </c>
      <c r="P95" s="48" t="s">
        <v>51</v>
      </c>
      <c r="Q95" s="48" t="s">
        <v>77</v>
      </c>
      <c r="R95" s="48" t="s">
        <v>729</v>
      </c>
      <c r="S95" s="48" t="s">
        <v>67</v>
      </c>
      <c r="T95" s="48" t="s">
        <v>730</v>
      </c>
      <c r="U95" s="28" t="s">
        <v>731</v>
      </c>
      <c r="V95" s="15" t="s">
        <v>732</v>
      </c>
      <c r="W95" s="38" t="s">
        <v>1422</v>
      </c>
      <c r="X95" s="15" t="s">
        <v>1231</v>
      </c>
      <c r="Y95" s="15" t="s">
        <v>1408</v>
      </c>
      <c r="Z95" s="15" t="s">
        <v>1387</v>
      </c>
      <c r="AA95" s="15" t="s">
        <v>1426</v>
      </c>
      <c r="AB95" s="15" t="s">
        <v>1429</v>
      </c>
    </row>
    <row r="96" spans="1:28" ht="45" customHeight="1" x14ac:dyDescent="0.25">
      <c r="A96" s="48" t="s">
        <v>733</v>
      </c>
      <c r="B96" s="7" t="s">
        <v>72</v>
      </c>
      <c r="C96" s="48" t="s">
        <v>734</v>
      </c>
      <c r="D96" s="48" t="s">
        <v>735</v>
      </c>
      <c r="E96" s="52" t="s">
        <v>60</v>
      </c>
      <c r="F96" s="9" t="s">
        <v>26</v>
      </c>
      <c r="G96" s="48" t="s">
        <v>736</v>
      </c>
      <c r="H96" s="48" t="str">
        <f t="shared" si="2"/>
        <v xml:space="preserve">    RO5</v>
      </c>
      <c r="I96" s="48"/>
      <c r="J96" s="48"/>
      <c r="K96" s="48"/>
      <c r="L96" s="48"/>
      <c r="M96" s="48" t="s">
        <v>31</v>
      </c>
      <c r="N96" s="48" t="s">
        <v>75</v>
      </c>
      <c r="O96" s="48" t="s">
        <v>50</v>
      </c>
      <c r="P96" s="48" t="s">
        <v>737</v>
      </c>
      <c r="Q96" s="48" t="s">
        <v>422</v>
      </c>
      <c r="R96" s="48" t="s">
        <v>738</v>
      </c>
      <c r="S96" s="48" t="s">
        <v>67</v>
      </c>
      <c r="T96" s="48" t="s">
        <v>739</v>
      </c>
      <c r="U96" s="25" t="s">
        <v>703</v>
      </c>
      <c r="V96" s="20" t="s">
        <v>740</v>
      </c>
      <c r="W96" s="38" t="s">
        <v>1422</v>
      </c>
      <c r="X96" s="15" t="s">
        <v>1229</v>
      </c>
      <c r="Y96" t="s">
        <v>1147</v>
      </c>
      <c r="Z96" s="15" t="s">
        <v>1378</v>
      </c>
      <c r="AA96" s="38" t="s">
        <v>1425</v>
      </c>
      <c r="AB96" s="38" t="s">
        <v>1428</v>
      </c>
    </row>
    <row r="97" spans="1:28" ht="45" customHeight="1" x14ac:dyDescent="0.25">
      <c r="A97" s="48" t="s">
        <v>741</v>
      </c>
      <c r="B97" s="7" t="s">
        <v>72</v>
      </c>
      <c r="C97" s="48" t="s">
        <v>742</v>
      </c>
      <c r="D97" s="48" t="s">
        <v>743</v>
      </c>
      <c r="E97" s="52" t="s">
        <v>60</v>
      </c>
      <c r="F97" s="9" t="s">
        <v>26</v>
      </c>
      <c r="G97" s="48" t="s">
        <v>736</v>
      </c>
      <c r="H97" s="48" t="str">
        <f t="shared" si="2"/>
        <v xml:space="preserve">    RO5</v>
      </c>
      <c r="I97" s="48"/>
      <c r="J97" s="48"/>
      <c r="K97" s="48"/>
      <c r="L97" s="48"/>
      <c r="M97" s="48" t="s">
        <v>31</v>
      </c>
      <c r="N97" s="48" t="s">
        <v>75</v>
      </c>
      <c r="O97" s="48" t="s">
        <v>50</v>
      </c>
      <c r="P97" s="48" t="s">
        <v>737</v>
      </c>
      <c r="Q97" s="48" t="s">
        <v>422</v>
      </c>
      <c r="R97" s="48" t="s">
        <v>744</v>
      </c>
      <c r="S97" s="48" t="s">
        <v>67</v>
      </c>
      <c r="T97" s="48" t="s">
        <v>745</v>
      </c>
      <c r="U97" s="25" t="s">
        <v>703</v>
      </c>
      <c r="V97" s="15" t="s">
        <v>746</v>
      </c>
      <c r="W97" s="38" t="s">
        <v>1422</v>
      </c>
      <c r="X97" s="15" t="s">
        <v>1229</v>
      </c>
      <c r="Y97" t="s">
        <v>1147</v>
      </c>
      <c r="Z97" s="15" t="s">
        <v>1379</v>
      </c>
      <c r="AA97" s="38" t="s">
        <v>1425</v>
      </c>
      <c r="AB97" s="38" t="s">
        <v>1428</v>
      </c>
    </row>
    <row r="98" spans="1:28" ht="45" customHeight="1" x14ac:dyDescent="0.25">
      <c r="A98" s="48" t="s">
        <v>747</v>
      </c>
      <c r="B98" s="12" t="s">
        <v>1163</v>
      </c>
      <c r="C98" s="48" t="s">
        <v>748</v>
      </c>
      <c r="D98" s="48" t="s">
        <v>749</v>
      </c>
      <c r="E98" s="52" t="s">
        <v>45</v>
      </c>
      <c r="F98" s="9" t="s">
        <v>750</v>
      </c>
      <c r="G98" s="48" t="s">
        <v>751</v>
      </c>
      <c r="H98" s="48" t="str">
        <f t="shared" si="2"/>
        <v xml:space="preserve">  RO3  </v>
      </c>
      <c r="I98" s="48"/>
      <c r="J98" s="48"/>
      <c r="K98" s="48" t="s">
        <v>48</v>
      </c>
      <c r="L98" s="48"/>
      <c r="M98" s="48"/>
      <c r="N98" s="48" t="s">
        <v>752</v>
      </c>
      <c r="O98" s="48" t="s">
        <v>753</v>
      </c>
      <c r="P98" s="48" t="s">
        <v>93</v>
      </c>
      <c r="Q98" s="48" t="s">
        <v>107</v>
      </c>
      <c r="R98" s="48" t="s">
        <v>754</v>
      </c>
      <c r="S98" s="48" t="s">
        <v>67</v>
      </c>
      <c r="T98" s="48" t="s">
        <v>755</v>
      </c>
      <c r="U98" s="29" t="s">
        <v>1148</v>
      </c>
      <c r="V98" s="22" t="s">
        <v>757</v>
      </c>
      <c r="W98" s="38" t="s">
        <v>1422</v>
      </c>
      <c r="X98" s="15" t="s">
        <v>1231</v>
      </c>
      <c r="Y98" s="15" t="s">
        <v>1409</v>
      </c>
      <c r="Z98" s="15" t="s">
        <v>1388</v>
      </c>
      <c r="AA98" s="15" t="s">
        <v>1426</v>
      </c>
      <c r="AB98" s="15" t="s">
        <v>1429</v>
      </c>
    </row>
    <row r="99" spans="1:28" ht="45" customHeight="1" x14ac:dyDescent="0.25">
      <c r="A99" s="48" t="s">
        <v>758</v>
      </c>
      <c r="B99" s="12" t="s">
        <v>1163</v>
      </c>
      <c r="C99" s="48" t="s">
        <v>759</v>
      </c>
      <c r="D99" s="48" t="s">
        <v>760</v>
      </c>
      <c r="E99" s="52" t="s">
        <v>60</v>
      </c>
      <c r="F99" s="9" t="s">
        <v>26</v>
      </c>
      <c r="G99" s="48" t="s">
        <v>474</v>
      </c>
      <c r="H99" s="48" t="str">
        <f t="shared" ref="H99:H130" si="3">I99&amp;" "&amp;J99&amp;" "&amp;K99&amp;" "&amp;L99&amp;" "&amp;M99</f>
        <v xml:space="preserve">   RO4 </v>
      </c>
      <c r="I99" s="48"/>
      <c r="J99" s="48"/>
      <c r="K99" s="48"/>
      <c r="L99" s="48" t="s">
        <v>30</v>
      </c>
      <c r="M99" s="48"/>
      <c r="N99" s="48" t="s">
        <v>708</v>
      </c>
      <c r="O99" s="48" t="s">
        <v>50</v>
      </c>
      <c r="P99" s="48" t="s">
        <v>761</v>
      </c>
      <c r="Q99" s="48" t="s">
        <v>383</v>
      </c>
      <c r="R99" s="48" t="s">
        <v>762</v>
      </c>
      <c r="S99" s="48" t="s">
        <v>67</v>
      </c>
      <c r="T99" s="48" t="s">
        <v>763</v>
      </c>
      <c r="U99" s="34" t="s">
        <v>703</v>
      </c>
      <c r="V99" s="15" t="s">
        <v>764</v>
      </c>
      <c r="W99" s="15" t="s">
        <v>1226</v>
      </c>
      <c r="X99" s="15" t="s">
        <v>1229</v>
      </c>
      <c r="Y99" t="s">
        <v>1147</v>
      </c>
      <c r="Z99" s="15" t="s">
        <v>1302</v>
      </c>
      <c r="AA99" s="38" t="s">
        <v>1425</v>
      </c>
      <c r="AB99" s="38" t="s">
        <v>1428</v>
      </c>
    </row>
    <row r="100" spans="1:28" ht="45" customHeight="1" x14ac:dyDescent="0.25">
      <c r="A100" s="48" t="s">
        <v>765</v>
      </c>
      <c r="B100" s="42" t="s">
        <v>1163</v>
      </c>
      <c r="C100" s="48" t="s">
        <v>766</v>
      </c>
      <c r="D100" s="48" t="s">
        <v>1461</v>
      </c>
      <c r="E100" s="52" t="s">
        <v>60</v>
      </c>
      <c r="F100" s="9" t="s">
        <v>46</v>
      </c>
      <c r="G100" s="48" t="s">
        <v>683</v>
      </c>
      <c r="H100" s="48" t="str">
        <f t="shared" si="3"/>
        <v xml:space="preserve">  RO3  RO5</v>
      </c>
      <c r="I100" s="48"/>
      <c r="J100" s="48"/>
      <c r="K100" s="48" t="s">
        <v>48</v>
      </c>
      <c r="L100" s="48"/>
      <c r="M100" s="48" t="s">
        <v>31</v>
      </c>
      <c r="N100" s="48" t="s">
        <v>74</v>
      </c>
      <c r="O100" s="48" t="s">
        <v>75</v>
      </c>
      <c r="P100" s="48" t="s">
        <v>51</v>
      </c>
      <c r="Q100" s="48" t="s">
        <v>767</v>
      </c>
      <c r="R100" s="48" t="s">
        <v>768</v>
      </c>
      <c r="S100" s="48" t="s">
        <v>67</v>
      </c>
      <c r="T100" s="48" t="s">
        <v>769</v>
      </c>
      <c r="U100" s="33" t="s">
        <v>1208</v>
      </c>
      <c r="V100" s="20" t="s">
        <v>770</v>
      </c>
      <c r="W100" s="38" t="s">
        <v>1422</v>
      </c>
      <c r="X100" s="15" t="s">
        <v>1230</v>
      </c>
      <c r="Y100" s="15" t="s">
        <v>1398</v>
      </c>
      <c r="Z100" s="15" t="s">
        <v>1262</v>
      </c>
      <c r="AA100" s="38" t="s">
        <v>1425</v>
      </c>
      <c r="AB100" s="38" t="s">
        <v>1428</v>
      </c>
    </row>
    <row r="101" spans="1:28" ht="45" customHeight="1" x14ac:dyDescent="0.25">
      <c r="A101" s="48" t="s">
        <v>771</v>
      </c>
      <c r="B101" s="12" t="s">
        <v>1163</v>
      </c>
      <c r="C101" s="48" t="s">
        <v>772</v>
      </c>
      <c r="D101" s="48" t="s">
        <v>1203</v>
      </c>
      <c r="E101" s="52" t="s">
        <v>773</v>
      </c>
      <c r="F101" s="9" t="s">
        <v>774</v>
      </c>
      <c r="G101" s="48" t="s">
        <v>345</v>
      </c>
      <c r="H101" s="48" t="str">
        <f t="shared" si="3"/>
        <v xml:space="preserve"> RO2   </v>
      </c>
      <c r="I101" s="48"/>
      <c r="J101" s="48" t="s">
        <v>29</v>
      </c>
      <c r="K101" s="48"/>
      <c r="L101" s="48"/>
      <c r="M101" s="48"/>
      <c r="N101" s="48" t="s">
        <v>775</v>
      </c>
      <c r="O101" s="48" t="s">
        <v>63</v>
      </c>
      <c r="P101" s="48" t="s">
        <v>776</v>
      </c>
      <c r="Q101" s="48" t="s">
        <v>543</v>
      </c>
      <c r="R101" s="48" t="s">
        <v>777</v>
      </c>
      <c r="S101" s="48" t="s">
        <v>247</v>
      </c>
      <c r="T101" s="48" t="s">
        <v>778</v>
      </c>
      <c r="U101" s="28" t="s">
        <v>1208</v>
      </c>
      <c r="V101" s="15" t="s">
        <v>779</v>
      </c>
      <c r="W101" s="38" t="s">
        <v>1422</v>
      </c>
      <c r="X101" s="15" t="s">
        <v>1230</v>
      </c>
      <c r="Y101" s="15" t="s">
        <v>1399</v>
      </c>
      <c r="Z101" s="15" t="s">
        <v>1293</v>
      </c>
      <c r="AA101" s="15" t="s">
        <v>1427</v>
      </c>
      <c r="AB101" s="15" t="s">
        <v>1429</v>
      </c>
    </row>
    <row r="102" spans="1:28" ht="45" customHeight="1" x14ac:dyDescent="0.25">
      <c r="A102" s="48" t="s">
        <v>780</v>
      </c>
      <c r="B102" s="7" t="s">
        <v>72</v>
      </c>
      <c r="C102" s="48" t="s">
        <v>781</v>
      </c>
      <c r="D102" s="48" t="s">
        <v>782</v>
      </c>
      <c r="E102" s="52" t="s">
        <v>45</v>
      </c>
      <c r="F102" s="9" t="s">
        <v>783</v>
      </c>
      <c r="G102" s="48" t="s">
        <v>474</v>
      </c>
      <c r="H102" s="48" t="str">
        <f t="shared" si="3"/>
        <v xml:space="preserve">    RO5</v>
      </c>
      <c r="I102" s="48"/>
      <c r="J102" s="48"/>
      <c r="K102" s="48"/>
      <c r="L102" s="48"/>
      <c r="M102" s="48" t="s">
        <v>31</v>
      </c>
      <c r="N102" s="48" t="s">
        <v>784</v>
      </c>
      <c r="O102" s="48" t="s">
        <v>753</v>
      </c>
      <c r="P102" s="48" t="s">
        <v>51</v>
      </c>
      <c r="Q102" s="48" t="s">
        <v>77</v>
      </c>
      <c r="R102" s="48" t="s">
        <v>785</v>
      </c>
      <c r="S102" s="48" t="s">
        <v>701</v>
      </c>
      <c r="T102" s="48" t="s">
        <v>786</v>
      </c>
      <c r="U102" s="29" t="s">
        <v>1150</v>
      </c>
      <c r="V102" s="53" t="s">
        <v>787</v>
      </c>
      <c r="W102" s="38" t="s">
        <v>1422</v>
      </c>
      <c r="X102" s="15" t="s">
        <v>1231</v>
      </c>
      <c r="Y102" s="15" t="s">
        <v>1410</v>
      </c>
      <c r="Z102" s="15" t="s">
        <v>1389</v>
      </c>
      <c r="AA102" s="38" t="s">
        <v>1425</v>
      </c>
      <c r="AB102" s="38" t="s">
        <v>1428</v>
      </c>
    </row>
    <row r="103" spans="1:28" ht="45" customHeight="1" x14ac:dyDescent="0.25">
      <c r="A103" s="48" t="s">
        <v>788</v>
      </c>
      <c r="B103" s="12" t="s">
        <v>1163</v>
      </c>
      <c r="C103" s="48" t="s">
        <v>789</v>
      </c>
      <c r="D103" s="48" t="s">
        <v>790</v>
      </c>
      <c r="E103" s="52" t="s">
        <v>60</v>
      </c>
      <c r="F103" s="1" t="s">
        <v>138</v>
      </c>
      <c r="G103" s="48" t="s">
        <v>47</v>
      </c>
      <c r="H103" s="48" t="str">
        <f t="shared" si="3"/>
        <v xml:space="preserve">  RO3  </v>
      </c>
      <c r="I103" s="48"/>
      <c r="J103" s="48"/>
      <c r="K103" s="48" t="s">
        <v>48</v>
      </c>
      <c r="L103" s="48"/>
      <c r="M103" s="48"/>
      <c r="N103" s="48" t="s">
        <v>74</v>
      </c>
      <c r="O103" s="48" t="s">
        <v>63</v>
      </c>
      <c r="P103" s="48" t="s">
        <v>563</v>
      </c>
      <c r="Q103" s="48" t="s">
        <v>791</v>
      </c>
      <c r="R103" s="48" t="s">
        <v>792</v>
      </c>
      <c r="S103" s="48" t="s">
        <v>67</v>
      </c>
      <c r="T103" s="48" t="s">
        <v>793</v>
      </c>
      <c r="U103" s="34" t="s">
        <v>1177</v>
      </c>
      <c r="V103" s="15" t="s">
        <v>794</v>
      </c>
      <c r="W103" s="38" t="s">
        <v>1422</v>
      </c>
      <c r="X103" s="15" t="s">
        <v>1229</v>
      </c>
      <c r="Y103" s="15" t="s">
        <v>1144</v>
      </c>
      <c r="Z103" s="15" t="s">
        <v>1294</v>
      </c>
      <c r="AA103" s="38" t="s">
        <v>1425</v>
      </c>
      <c r="AB103" s="38" t="s">
        <v>1428</v>
      </c>
    </row>
    <row r="104" spans="1:28" ht="45" customHeight="1" x14ac:dyDescent="0.25">
      <c r="A104" s="48" t="s">
        <v>795</v>
      </c>
      <c r="B104" s="12" t="s">
        <v>1163</v>
      </c>
      <c r="C104" s="48" t="s">
        <v>796</v>
      </c>
      <c r="D104" s="48" t="s">
        <v>797</v>
      </c>
      <c r="E104" s="52" t="s">
        <v>45</v>
      </c>
      <c r="F104" s="1" t="s">
        <v>138</v>
      </c>
      <c r="G104" s="48" t="s">
        <v>572</v>
      </c>
      <c r="H104" s="48" t="str">
        <f t="shared" si="3"/>
        <v xml:space="preserve"> RO2   </v>
      </c>
      <c r="I104" s="48"/>
      <c r="J104" s="48" t="s">
        <v>29</v>
      </c>
      <c r="K104" s="48"/>
      <c r="L104" s="48"/>
      <c r="M104" s="48"/>
      <c r="N104" s="48" t="s">
        <v>798</v>
      </c>
      <c r="O104" s="48" t="s">
        <v>63</v>
      </c>
      <c r="P104" s="48" t="s">
        <v>444</v>
      </c>
      <c r="Q104" s="48" t="s">
        <v>799</v>
      </c>
      <c r="R104" s="48" t="s">
        <v>800</v>
      </c>
      <c r="S104" s="48" t="s">
        <v>224</v>
      </c>
      <c r="T104" s="48" t="s">
        <v>1503</v>
      </c>
      <c r="U104" s="34" t="s">
        <v>1177</v>
      </c>
      <c r="V104" s="22" t="s">
        <v>801</v>
      </c>
      <c r="W104" s="38" t="s">
        <v>1422</v>
      </c>
      <c r="X104" s="15" t="s">
        <v>1229</v>
      </c>
      <c r="Y104" s="15" t="s">
        <v>1144</v>
      </c>
      <c r="Z104" s="15" t="s">
        <v>1295</v>
      </c>
      <c r="AA104" s="38" t="s">
        <v>1425</v>
      </c>
      <c r="AB104" s="38" t="s">
        <v>1428</v>
      </c>
    </row>
    <row r="105" spans="1:28" ht="45" customHeight="1" x14ac:dyDescent="0.25">
      <c r="A105" s="48" t="s">
        <v>802</v>
      </c>
      <c r="B105" s="2" t="s">
        <v>23</v>
      </c>
      <c r="C105" s="48" t="s">
        <v>803</v>
      </c>
      <c r="D105" s="48" t="s">
        <v>804</v>
      </c>
      <c r="E105" s="52" t="s">
        <v>60</v>
      </c>
      <c r="F105" s="1" t="s">
        <v>805</v>
      </c>
      <c r="G105" s="48" t="s">
        <v>405</v>
      </c>
      <c r="H105" s="48" t="str">
        <f t="shared" si="3"/>
        <v>RO1 RO2   RO5</v>
      </c>
      <c r="I105" s="48" t="s">
        <v>28</v>
      </c>
      <c r="J105" s="48" t="s">
        <v>29</v>
      </c>
      <c r="K105" s="48"/>
      <c r="L105" s="48"/>
      <c r="M105" s="48" t="s">
        <v>31</v>
      </c>
      <c r="N105" s="48" t="s">
        <v>62</v>
      </c>
      <c r="O105" s="48" t="s">
        <v>63</v>
      </c>
      <c r="P105" s="48" t="s">
        <v>305</v>
      </c>
      <c r="Q105" s="48" t="s">
        <v>806</v>
      </c>
      <c r="R105" s="48" t="s">
        <v>807</v>
      </c>
      <c r="S105" s="48" t="s">
        <v>461</v>
      </c>
      <c r="T105" s="48" t="s">
        <v>808</v>
      </c>
      <c r="U105" s="25" t="s">
        <v>1178</v>
      </c>
      <c r="V105" s="15" t="s">
        <v>809</v>
      </c>
      <c r="W105" s="38" t="s">
        <v>1422</v>
      </c>
      <c r="X105" s="15" t="s">
        <v>1229</v>
      </c>
      <c r="Y105" s="15" t="s">
        <v>1144</v>
      </c>
      <c r="Z105" s="15" t="s">
        <v>1320</v>
      </c>
      <c r="AA105" s="15" t="s">
        <v>1427</v>
      </c>
      <c r="AB105" s="15" t="s">
        <v>1429</v>
      </c>
    </row>
    <row r="106" spans="1:28" ht="45" customHeight="1" x14ac:dyDescent="0.25">
      <c r="A106" s="48" t="s">
        <v>810</v>
      </c>
      <c r="B106" s="12" t="s">
        <v>1163</v>
      </c>
      <c r="C106" s="48" t="s">
        <v>811</v>
      </c>
      <c r="D106" s="48" t="s">
        <v>812</v>
      </c>
      <c r="E106" s="52" t="s">
        <v>60</v>
      </c>
      <c r="F106" s="1" t="s">
        <v>138</v>
      </c>
      <c r="G106" s="48" t="s">
        <v>47</v>
      </c>
      <c r="H106" s="48" t="str">
        <f t="shared" si="3"/>
        <v xml:space="preserve"> RO2   </v>
      </c>
      <c r="I106" s="48"/>
      <c r="J106" s="48" t="s">
        <v>29</v>
      </c>
      <c r="K106" s="48"/>
      <c r="L106" s="48"/>
      <c r="M106" s="48"/>
      <c r="N106" s="48" t="s">
        <v>1504</v>
      </c>
      <c r="O106" s="48" t="s">
        <v>63</v>
      </c>
      <c r="P106" s="48" t="s">
        <v>813</v>
      </c>
      <c r="Q106" s="48" t="s">
        <v>814</v>
      </c>
      <c r="R106" s="48" t="s">
        <v>148</v>
      </c>
      <c r="S106" s="48" t="s">
        <v>67</v>
      </c>
      <c r="T106" s="48" t="s">
        <v>815</v>
      </c>
      <c r="U106" s="34" t="s">
        <v>1180</v>
      </c>
      <c r="V106" s="15" t="s">
        <v>816</v>
      </c>
      <c r="W106" s="38" t="s">
        <v>1422</v>
      </c>
      <c r="X106" s="15" t="s">
        <v>1229</v>
      </c>
      <c r="Y106" s="15" t="s">
        <v>1144</v>
      </c>
      <c r="Z106" s="15" t="s">
        <v>1296</v>
      </c>
      <c r="AA106" s="38" t="s">
        <v>1425</v>
      </c>
      <c r="AB106" s="38" t="s">
        <v>1428</v>
      </c>
    </row>
    <row r="107" spans="1:28" ht="45" customHeight="1" x14ac:dyDescent="0.25">
      <c r="A107" s="48" t="s">
        <v>817</v>
      </c>
      <c r="B107" s="7" t="s">
        <v>72</v>
      </c>
      <c r="C107" s="48" t="s">
        <v>818</v>
      </c>
      <c r="D107" s="48" t="s">
        <v>819</v>
      </c>
      <c r="E107" s="52" t="s">
        <v>45</v>
      </c>
      <c r="F107" s="1" t="s">
        <v>138</v>
      </c>
      <c r="G107" s="48" t="s">
        <v>562</v>
      </c>
      <c r="H107" s="48" t="str">
        <f t="shared" si="3"/>
        <v xml:space="preserve">    RO5</v>
      </c>
      <c r="I107" s="48"/>
      <c r="J107" s="48"/>
      <c r="K107" s="48"/>
      <c r="L107" s="48"/>
      <c r="M107" s="48" t="s">
        <v>31</v>
      </c>
      <c r="N107" s="48" t="s">
        <v>63</v>
      </c>
      <c r="O107" s="48" t="s">
        <v>820</v>
      </c>
      <c r="P107" s="48" t="s">
        <v>616</v>
      </c>
      <c r="Q107" s="48" t="s">
        <v>383</v>
      </c>
      <c r="R107" s="48" t="s">
        <v>821</v>
      </c>
      <c r="S107" s="48" t="s">
        <v>224</v>
      </c>
      <c r="T107" s="48" t="s">
        <v>1502</v>
      </c>
      <c r="U107" s="25" t="s">
        <v>1191</v>
      </c>
      <c r="V107" s="20" t="s">
        <v>822</v>
      </c>
      <c r="W107" s="38" t="s">
        <v>1422</v>
      </c>
      <c r="X107" s="15" t="s">
        <v>1229</v>
      </c>
      <c r="Y107" s="15" t="s">
        <v>1143</v>
      </c>
      <c r="Z107" s="15" t="s">
        <v>1380</v>
      </c>
      <c r="AA107" s="15" t="s">
        <v>1427</v>
      </c>
      <c r="AB107" s="15" t="s">
        <v>1429</v>
      </c>
    </row>
    <row r="108" spans="1:28" ht="45" customHeight="1" x14ac:dyDescent="0.25">
      <c r="A108" s="48" t="s">
        <v>823</v>
      </c>
      <c r="B108" s="7" t="s">
        <v>72</v>
      </c>
      <c r="C108" s="48" t="s">
        <v>824</v>
      </c>
      <c r="D108" s="48" t="s">
        <v>825</v>
      </c>
      <c r="E108" s="52" t="s">
        <v>45</v>
      </c>
      <c r="F108" s="1" t="s">
        <v>46</v>
      </c>
      <c r="G108" s="48" t="s">
        <v>562</v>
      </c>
      <c r="H108" s="48" t="str">
        <f t="shared" si="3"/>
        <v xml:space="preserve">RO1    </v>
      </c>
      <c r="I108" s="48" t="s">
        <v>28</v>
      </c>
      <c r="J108" s="48"/>
      <c r="K108" s="48"/>
      <c r="L108" s="48"/>
      <c r="M108" s="48"/>
      <c r="N108" s="48" t="s">
        <v>49</v>
      </c>
      <c r="O108" s="48" t="s">
        <v>50</v>
      </c>
      <c r="P108" s="48" t="s">
        <v>826</v>
      </c>
      <c r="Q108" s="48" t="s">
        <v>383</v>
      </c>
      <c r="R108" s="48" t="s">
        <v>827</v>
      </c>
      <c r="S108" s="48" t="s">
        <v>565</v>
      </c>
      <c r="T108" s="48" t="s">
        <v>828</v>
      </c>
      <c r="U108" s="25" t="s">
        <v>1186</v>
      </c>
      <c r="V108" s="15" t="s">
        <v>829</v>
      </c>
      <c r="W108" s="38" t="s">
        <v>1422</v>
      </c>
      <c r="X108" s="15" t="s">
        <v>1229</v>
      </c>
      <c r="Y108" s="15" t="s">
        <v>1145</v>
      </c>
      <c r="Z108" s="15" t="s">
        <v>1353</v>
      </c>
      <c r="AA108" s="38" t="s">
        <v>1425</v>
      </c>
      <c r="AB108" s="38" t="s">
        <v>1428</v>
      </c>
    </row>
    <row r="109" spans="1:28" ht="45" customHeight="1" x14ac:dyDescent="0.25">
      <c r="A109" s="48" t="s">
        <v>830</v>
      </c>
      <c r="B109" s="2" t="s">
        <v>23</v>
      </c>
      <c r="C109" s="48" t="s">
        <v>831</v>
      </c>
      <c r="D109" s="48" t="s">
        <v>832</v>
      </c>
      <c r="E109" s="52">
        <v>2024</v>
      </c>
      <c r="F109" s="1" t="s">
        <v>833</v>
      </c>
      <c r="G109" s="48" t="s">
        <v>834</v>
      </c>
      <c r="H109" s="48" t="str">
        <f t="shared" si="3"/>
        <v>RO1 RO2  RO4 RO5</v>
      </c>
      <c r="I109" s="48" t="s">
        <v>28</v>
      </c>
      <c r="J109" s="48" t="s">
        <v>29</v>
      </c>
      <c r="K109" s="48"/>
      <c r="L109" s="48" t="s">
        <v>30</v>
      </c>
      <c r="M109" s="48" t="s">
        <v>31</v>
      </c>
      <c r="N109" s="48" t="s">
        <v>835</v>
      </c>
      <c r="O109" s="48" t="s">
        <v>836</v>
      </c>
      <c r="P109" s="48" t="s">
        <v>837</v>
      </c>
      <c r="Q109" s="48" t="s">
        <v>838</v>
      </c>
      <c r="R109" s="48" t="s">
        <v>839</v>
      </c>
      <c r="S109" s="48" t="s">
        <v>840</v>
      </c>
      <c r="T109" s="48" t="s">
        <v>841</v>
      </c>
      <c r="U109" s="25" t="s">
        <v>1186</v>
      </c>
      <c r="V109" s="15" t="s">
        <v>842</v>
      </c>
      <c r="W109" s="38" t="s">
        <v>1422</v>
      </c>
      <c r="X109" s="15" t="s">
        <v>1229</v>
      </c>
      <c r="Y109" s="15" t="s">
        <v>1145</v>
      </c>
      <c r="Z109" s="15" t="s">
        <v>1321</v>
      </c>
      <c r="AA109" s="15" t="s">
        <v>1427</v>
      </c>
      <c r="AB109" s="15" t="s">
        <v>1429</v>
      </c>
    </row>
    <row r="110" spans="1:28" ht="45" customHeight="1" x14ac:dyDescent="0.25">
      <c r="A110" s="48" t="s">
        <v>843</v>
      </c>
      <c r="B110" s="7" t="s">
        <v>72</v>
      </c>
      <c r="C110" s="48" t="s">
        <v>844</v>
      </c>
      <c r="D110" s="54" t="s">
        <v>845</v>
      </c>
      <c r="E110" s="52" t="s">
        <v>303</v>
      </c>
      <c r="F110" s="5" t="s">
        <v>26</v>
      </c>
      <c r="G110" s="48" t="s">
        <v>846</v>
      </c>
      <c r="H110" s="48" t="str">
        <f t="shared" si="3"/>
        <v>RO1  RO3  RO5</v>
      </c>
      <c r="I110" s="48" t="s">
        <v>28</v>
      </c>
      <c r="J110" s="48"/>
      <c r="K110" s="48" t="s">
        <v>48</v>
      </c>
      <c r="L110" s="48"/>
      <c r="M110" s="48" t="s">
        <v>31</v>
      </c>
      <c r="N110" s="48" t="s">
        <v>74</v>
      </c>
      <c r="O110" s="48" t="s">
        <v>75</v>
      </c>
      <c r="P110" s="48" t="s">
        <v>847</v>
      </c>
      <c r="Q110" s="48" t="s">
        <v>422</v>
      </c>
      <c r="R110" s="48" t="s">
        <v>848</v>
      </c>
      <c r="S110" s="48" t="s">
        <v>247</v>
      </c>
      <c r="T110" s="48" t="s">
        <v>1471</v>
      </c>
      <c r="U110" s="25" t="s">
        <v>703</v>
      </c>
      <c r="V110" s="15" t="s">
        <v>849</v>
      </c>
      <c r="W110" s="38" t="s">
        <v>1422</v>
      </c>
      <c r="X110" s="15" t="s">
        <v>1229</v>
      </c>
      <c r="Y110" s="15" t="s">
        <v>1144</v>
      </c>
      <c r="Z110" s="15" t="s">
        <v>1354</v>
      </c>
      <c r="AA110" s="15" t="s">
        <v>1427</v>
      </c>
      <c r="AB110" s="15" t="s">
        <v>1429</v>
      </c>
    </row>
    <row r="111" spans="1:28" ht="45" customHeight="1" x14ac:dyDescent="0.25">
      <c r="A111" s="13" t="s">
        <v>850</v>
      </c>
      <c r="B111" s="42" t="s">
        <v>42</v>
      </c>
      <c r="C111" s="48" t="s">
        <v>851</v>
      </c>
      <c r="D111" s="48" t="s">
        <v>852</v>
      </c>
      <c r="E111" s="52">
        <v>2025</v>
      </c>
      <c r="F111" s="1" t="s">
        <v>853</v>
      </c>
      <c r="G111" s="48" t="s">
        <v>854</v>
      </c>
      <c r="H111" s="48" t="str">
        <f t="shared" si="3"/>
        <v xml:space="preserve">  RO3  RO5</v>
      </c>
      <c r="I111" s="48"/>
      <c r="J111" s="48"/>
      <c r="K111" s="48" t="s">
        <v>48</v>
      </c>
      <c r="L111" s="48"/>
      <c r="M111" s="48" t="s">
        <v>31</v>
      </c>
      <c r="N111" s="48" t="s">
        <v>855</v>
      </c>
      <c r="O111" s="48" t="s">
        <v>856</v>
      </c>
      <c r="P111" s="48" t="s">
        <v>857</v>
      </c>
      <c r="Q111" s="48" t="s">
        <v>858</v>
      </c>
      <c r="R111" s="48" t="s">
        <v>859</v>
      </c>
      <c r="S111" s="48" t="s">
        <v>860</v>
      </c>
      <c r="T111" s="48" t="s">
        <v>861</v>
      </c>
      <c r="U111" s="30" t="s">
        <v>670</v>
      </c>
      <c r="V111" s="20" t="s">
        <v>862</v>
      </c>
      <c r="W111" s="38" t="s">
        <v>1422</v>
      </c>
      <c r="X111" s="15" t="s">
        <v>1229</v>
      </c>
      <c r="Y111" t="s">
        <v>1147</v>
      </c>
      <c r="Z111" s="15" t="s">
        <v>1263</v>
      </c>
      <c r="AA111" s="15" t="s">
        <v>1427</v>
      </c>
      <c r="AB111" s="15" t="s">
        <v>1429</v>
      </c>
    </row>
    <row r="112" spans="1:28" ht="45" customHeight="1" x14ac:dyDescent="0.25">
      <c r="A112" s="48" t="s">
        <v>863</v>
      </c>
      <c r="B112" s="12" t="s">
        <v>1163</v>
      </c>
      <c r="C112" s="48" t="s">
        <v>864</v>
      </c>
      <c r="D112" s="48" t="s">
        <v>865</v>
      </c>
      <c r="E112" s="52" t="s">
        <v>60</v>
      </c>
      <c r="F112" s="1" t="s">
        <v>138</v>
      </c>
      <c r="G112" s="48" t="s">
        <v>405</v>
      </c>
      <c r="H112" s="48" t="str">
        <f t="shared" si="3"/>
        <v xml:space="preserve">RO1 RO2   </v>
      </c>
      <c r="I112" s="48" t="s">
        <v>28</v>
      </c>
      <c r="J112" s="48" t="s">
        <v>29</v>
      </c>
      <c r="K112" s="48"/>
      <c r="L112" s="48"/>
      <c r="M112" s="48"/>
      <c r="N112" s="48" t="s">
        <v>798</v>
      </c>
      <c r="O112" s="48" t="s">
        <v>63</v>
      </c>
      <c r="P112" s="48" t="s">
        <v>866</v>
      </c>
      <c r="Q112" s="48" t="s">
        <v>867</v>
      </c>
      <c r="R112" s="48" t="s">
        <v>868</v>
      </c>
      <c r="S112" s="48" t="s">
        <v>461</v>
      </c>
      <c r="T112" s="48" t="s">
        <v>869</v>
      </c>
      <c r="U112" s="34" t="s">
        <v>1180</v>
      </c>
      <c r="V112" s="15" t="s">
        <v>870</v>
      </c>
      <c r="W112" s="38" t="s">
        <v>1422</v>
      </c>
      <c r="X112" s="15" t="s">
        <v>1229</v>
      </c>
      <c r="Y112" s="15" t="s">
        <v>1144</v>
      </c>
      <c r="Z112" s="15" t="s">
        <v>1297</v>
      </c>
      <c r="AA112" s="38" t="s">
        <v>1425</v>
      </c>
      <c r="AB112" s="38" t="s">
        <v>1428</v>
      </c>
    </row>
    <row r="113" spans="1:28" ht="45" customHeight="1" x14ac:dyDescent="0.25">
      <c r="A113" s="48" t="s">
        <v>871</v>
      </c>
      <c r="B113" s="12" t="s">
        <v>1163</v>
      </c>
      <c r="C113" s="48" t="s">
        <v>872</v>
      </c>
      <c r="D113" s="48" t="s">
        <v>873</v>
      </c>
      <c r="E113" s="52" t="s">
        <v>874</v>
      </c>
      <c r="F113" s="1" t="s">
        <v>875</v>
      </c>
      <c r="G113" s="48" t="s">
        <v>876</v>
      </c>
      <c r="H113" s="48" t="str">
        <f t="shared" si="3"/>
        <v xml:space="preserve">RO1   RO4 </v>
      </c>
      <c r="I113" s="48" t="s">
        <v>28</v>
      </c>
      <c r="J113" s="48"/>
      <c r="K113" s="48"/>
      <c r="L113" s="48" t="s">
        <v>30</v>
      </c>
      <c r="M113" s="48"/>
      <c r="N113" s="48" t="s">
        <v>877</v>
      </c>
      <c r="O113" s="48" t="s">
        <v>50</v>
      </c>
      <c r="P113" s="48" t="s">
        <v>878</v>
      </c>
      <c r="Q113" s="48" t="s">
        <v>879</v>
      </c>
      <c r="R113" s="48" t="s">
        <v>880</v>
      </c>
      <c r="S113" s="48" t="s">
        <v>461</v>
      </c>
      <c r="T113" s="48" t="s">
        <v>881</v>
      </c>
      <c r="U113" s="34" t="s">
        <v>1178</v>
      </c>
      <c r="V113" s="15" t="s">
        <v>882</v>
      </c>
      <c r="W113" s="15" t="s">
        <v>1226</v>
      </c>
      <c r="X113" s="15" t="s">
        <v>1229</v>
      </c>
      <c r="Y113" s="15" t="s">
        <v>1144</v>
      </c>
      <c r="Z113" s="15" t="s">
        <v>1303</v>
      </c>
      <c r="AA113" s="38" t="s">
        <v>1425</v>
      </c>
      <c r="AB113" s="38" t="s">
        <v>1428</v>
      </c>
    </row>
    <row r="114" spans="1:28" ht="45" customHeight="1" x14ac:dyDescent="0.25">
      <c r="A114" s="48" t="s">
        <v>883</v>
      </c>
      <c r="B114" s="12" t="s">
        <v>1163</v>
      </c>
      <c r="C114" s="48" t="s">
        <v>884</v>
      </c>
      <c r="D114" s="48" t="s">
        <v>1204</v>
      </c>
      <c r="E114" s="52" t="s">
        <v>45</v>
      </c>
      <c r="F114" s="1" t="s">
        <v>138</v>
      </c>
      <c r="G114" s="48" t="s">
        <v>885</v>
      </c>
      <c r="H114" s="48" t="str">
        <f t="shared" si="3"/>
        <v xml:space="preserve">RO1 RO2   </v>
      </c>
      <c r="I114" s="48" t="s">
        <v>28</v>
      </c>
      <c r="J114" s="48" t="s">
        <v>29</v>
      </c>
      <c r="K114" s="48"/>
      <c r="L114" s="48"/>
      <c r="M114" s="48"/>
      <c r="N114" s="48" t="s">
        <v>359</v>
      </c>
      <c r="O114" s="48" t="s">
        <v>1308</v>
      </c>
      <c r="P114" s="48" t="s">
        <v>647</v>
      </c>
      <c r="Q114" s="48" t="s">
        <v>886</v>
      </c>
      <c r="R114" s="48" t="s">
        <v>887</v>
      </c>
      <c r="S114" s="48" t="s">
        <v>241</v>
      </c>
      <c r="T114" s="48" t="s">
        <v>888</v>
      </c>
      <c r="U114" s="28" t="s">
        <v>1208</v>
      </c>
      <c r="V114" s="15" t="s">
        <v>889</v>
      </c>
      <c r="W114" s="15" t="s">
        <v>1226</v>
      </c>
      <c r="X114" s="15" t="s">
        <v>1230</v>
      </c>
      <c r="Y114" s="15" t="s">
        <v>1400</v>
      </c>
      <c r="Z114" s="15" t="s">
        <v>1304</v>
      </c>
      <c r="AA114" s="38" t="s">
        <v>1425</v>
      </c>
      <c r="AB114" s="38" t="s">
        <v>1428</v>
      </c>
    </row>
    <row r="115" spans="1:28" ht="45" customHeight="1" x14ac:dyDescent="0.25">
      <c r="A115" s="48" t="s">
        <v>890</v>
      </c>
      <c r="B115" s="6" t="s">
        <v>42</v>
      </c>
      <c r="C115" s="48" t="s">
        <v>891</v>
      </c>
      <c r="D115" s="48" t="s">
        <v>892</v>
      </c>
      <c r="E115" s="52" t="s">
        <v>45</v>
      </c>
      <c r="F115" s="1" t="s">
        <v>138</v>
      </c>
      <c r="G115" s="48" t="s">
        <v>893</v>
      </c>
      <c r="H115" s="48" t="str">
        <f t="shared" si="3"/>
        <v xml:space="preserve">RO1   RO4 </v>
      </c>
      <c r="I115" s="48" t="s">
        <v>28</v>
      </c>
      <c r="J115" s="48"/>
      <c r="K115" s="48"/>
      <c r="L115" s="48" t="s">
        <v>30</v>
      </c>
      <c r="M115" s="48"/>
      <c r="N115" s="48" t="s">
        <v>894</v>
      </c>
      <c r="O115" s="48" t="s">
        <v>75</v>
      </c>
      <c r="P115" s="48" t="s">
        <v>895</v>
      </c>
      <c r="Q115" s="48" t="s">
        <v>896</v>
      </c>
      <c r="R115" s="48" t="s">
        <v>897</v>
      </c>
      <c r="S115" s="48" t="s">
        <v>241</v>
      </c>
      <c r="T115" s="48" t="s">
        <v>898</v>
      </c>
      <c r="U115" s="25" t="s">
        <v>1176</v>
      </c>
      <c r="V115" s="15" t="s">
        <v>899</v>
      </c>
      <c r="W115" s="38" t="s">
        <v>1422</v>
      </c>
      <c r="X115" s="37" t="s">
        <v>1229</v>
      </c>
      <c r="Y115" s="37" t="s">
        <v>1146</v>
      </c>
      <c r="Z115" s="15" t="s">
        <v>1264</v>
      </c>
      <c r="AA115" s="38" t="s">
        <v>1425</v>
      </c>
      <c r="AB115" s="38" t="s">
        <v>1428</v>
      </c>
    </row>
    <row r="116" spans="1:28" ht="45" customHeight="1" x14ac:dyDescent="0.25">
      <c r="A116" s="48" t="s">
        <v>900</v>
      </c>
      <c r="B116" s="7" t="s">
        <v>72</v>
      </c>
      <c r="C116" s="48" t="s">
        <v>901</v>
      </c>
      <c r="D116" s="48" t="s">
        <v>902</v>
      </c>
      <c r="E116" s="52" t="s">
        <v>45</v>
      </c>
      <c r="F116" s="1" t="s">
        <v>903</v>
      </c>
      <c r="G116" s="48" t="s">
        <v>904</v>
      </c>
      <c r="H116" s="48" t="str">
        <f t="shared" si="3"/>
        <v xml:space="preserve">RO1    </v>
      </c>
      <c r="I116" s="48" t="s">
        <v>28</v>
      </c>
      <c r="J116" s="48"/>
      <c r="K116" s="48"/>
      <c r="L116" s="48"/>
      <c r="M116" s="48"/>
      <c r="N116" s="48" t="s">
        <v>905</v>
      </c>
      <c r="O116" s="48" t="s">
        <v>50</v>
      </c>
      <c r="P116" s="48" t="s">
        <v>676</v>
      </c>
      <c r="Q116" s="48" t="s">
        <v>906</v>
      </c>
      <c r="R116" s="48" t="s">
        <v>907</v>
      </c>
      <c r="S116" s="48" t="s">
        <v>67</v>
      </c>
      <c r="T116" s="48" t="s">
        <v>908</v>
      </c>
      <c r="U116" s="25" t="s">
        <v>1190</v>
      </c>
      <c r="V116" s="15" t="s">
        <v>909</v>
      </c>
      <c r="W116" s="15" t="s">
        <v>1226</v>
      </c>
      <c r="X116" s="15" t="s">
        <v>1229</v>
      </c>
      <c r="Y116" s="15" t="s">
        <v>1143</v>
      </c>
      <c r="Z116" s="15" t="s">
        <v>1355</v>
      </c>
      <c r="AA116" s="38" t="s">
        <v>1425</v>
      </c>
      <c r="AB116" s="38" t="s">
        <v>1428</v>
      </c>
    </row>
    <row r="117" spans="1:28" ht="45" hidden="1" customHeight="1" x14ac:dyDescent="0.25">
      <c r="A117" s="1" t="s">
        <v>910</v>
      </c>
      <c r="B117" s="12" t="s">
        <v>1163</v>
      </c>
      <c r="C117" s="1" t="s">
        <v>911</v>
      </c>
      <c r="D117" s="1" t="s">
        <v>912</v>
      </c>
      <c r="E117" s="1" t="s">
        <v>60</v>
      </c>
      <c r="F117" s="1" t="s">
        <v>919</v>
      </c>
      <c r="G117" s="1" t="s">
        <v>304</v>
      </c>
      <c r="H117" s="1" t="str">
        <f t="shared" si="3"/>
        <v xml:space="preserve"> RO2   </v>
      </c>
      <c r="I117" s="1"/>
      <c r="J117" s="1" t="s">
        <v>29</v>
      </c>
      <c r="K117" s="1"/>
      <c r="L117" s="1"/>
      <c r="M117" s="1"/>
      <c r="N117" s="1" t="s">
        <v>75</v>
      </c>
      <c r="O117" s="1" t="s">
        <v>50</v>
      </c>
      <c r="P117" s="1" t="s">
        <v>322</v>
      </c>
      <c r="Q117" s="1" t="s">
        <v>422</v>
      </c>
      <c r="R117" s="1" t="s">
        <v>913</v>
      </c>
      <c r="S117" s="1" t="s">
        <v>461</v>
      </c>
      <c r="T117" s="1" t="s">
        <v>914</v>
      </c>
      <c r="U117" s="34" t="s">
        <v>1179</v>
      </c>
      <c r="V117" s="15" t="s">
        <v>915</v>
      </c>
      <c r="W117" t="s">
        <v>1228</v>
      </c>
      <c r="X117" s="15" t="s">
        <v>1229</v>
      </c>
      <c r="Y117" s="15" t="s">
        <v>1144</v>
      </c>
      <c r="Z117" s="15" t="s">
        <v>1309</v>
      </c>
      <c r="AA117" s="38" t="s">
        <v>1425</v>
      </c>
      <c r="AB117" s="38" t="s">
        <v>1428</v>
      </c>
    </row>
    <row r="118" spans="1:28" ht="45" hidden="1" customHeight="1" x14ac:dyDescent="0.25">
      <c r="A118" s="1" t="s">
        <v>916</v>
      </c>
      <c r="B118" s="12" t="s">
        <v>1163</v>
      </c>
      <c r="C118" s="1" t="s">
        <v>917</v>
      </c>
      <c r="D118" s="1" t="s">
        <v>918</v>
      </c>
      <c r="E118" s="1" t="s">
        <v>60</v>
      </c>
      <c r="F118" s="1" t="s">
        <v>919</v>
      </c>
      <c r="G118" s="1" t="s">
        <v>920</v>
      </c>
      <c r="H118" s="1" t="str">
        <f t="shared" si="3"/>
        <v xml:space="preserve">RO1 RO2   </v>
      </c>
      <c r="I118" s="1" t="s">
        <v>28</v>
      </c>
      <c r="J118" s="1" t="s">
        <v>29</v>
      </c>
      <c r="K118" s="1"/>
      <c r="L118" s="1"/>
      <c r="M118" s="1"/>
      <c r="N118" s="1" t="s">
        <v>921</v>
      </c>
      <c r="O118" s="1" t="s">
        <v>50</v>
      </c>
      <c r="P118" s="1" t="s">
        <v>523</v>
      </c>
      <c r="Q118" s="1" t="s">
        <v>922</v>
      </c>
      <c r="R118" s="1" t="s">
        <v>923</v>
      </c>
      <c r="S118" s="1" t="s">
        <v>67</v>
      </c>
      <c r="T118" s="1" t="s">
        <v>924</v>
      </c>
      <c r="U118" s="34" t="s">
        <v>1179</v>
      </c>
      <c r="V118" s="15" t="s">
        <v>925</v>
      </c>
      <c r="W118" t="s">
        <v>1228</v>
      </c>
      <c r="X118" s="15" t="s">
        <v>1229</v>
      </c>
      <c r="Y118" s="15" t="s">
        <v>1144</v>
      </c>
      <c r="Z118" s="15" t="s">
        <v>1310</v>
      </c>
      <c r="AA118" s="38" t="s">
        <v>1425</v>
      </c>
      <c r="AB118" s="38" t="s">
        <v>1428</v>
      </c>
    </row>
    <row r="119" spans="1:28" ht="45" customHeight="1" x14ac:dyDescent="0.25">
      <c r="A119" s="48" t="s">
        <v>926</v>
      </c>
      <c r="B119" s="7" t="s">
        <v>72</v>
      </c>
      <c r="C119" s="48" t="s">
        <v>927</v>
      </c>
      <c r="D119" s="48" t="s">
        <v>928</v>
      </c>
      <c r="E119" s="52" t="s">
        <v>929</v>
      </c>
      <c r="F119" s="1" t="s">
        <v>930</v>
      </c>
      <c r="G119" s="48" t="s">
        <v>931</v>
      </c>
      <c r="H119" s="48" t="str">
        <f t="shared" si="3"/>
        <v xml:space="preserve">   RO4 </v>
      </c>
      <c r="I119" s="48"/>
      <c r="J119" s="48"/>
      <c r="K119" s="48"/>
      <c r="L119" s="48" t="s">
        <v>30</v>
      </c>
      <c r="M119" s="48"/>
      <c r="N119" s="48" t="s">
        <v>932</v>
      </c>
      <c r="O119" s="48" t="s">
        <v>50</v>
      </c>
      <c r="P119" s="48" t="s">
        <v>933</v>
      </c>
      <c r="Q119" s="48" t="s">
        <v>934</v>
      </c>
      <c r="R119" s="48" t="s">
        <v>935</v>
      </c>
      <c r="S119" s="48" t="s">
        <v>67</v>
      </c>
      <c r="T119" s="48" t="s">
        <v>1497</v>
      </c>
      <c r="U119" s="25" t="s">
        <v>1179</v>
      </c>
      <c r="V119" s="61" t="s">
        <v>1498</v>
      </c>
      <c r="W119" s="38" t="s">
        <v>1422</v>
      </c>
      <c r="X119" s="15" t="s">
        <v>1229</v>
      </c>
      <c r="Y119" s="15" t="s">
        <v>1144</v>
      </c>
      <c r="Z119" s="15" t="s">
        <v>1381</v>
      </c>
      <c r="AA119" s="15" t="s">
        <v>1427</v>
      </c>
      <c r="AB119" s="15" t="s">
        <v>1429</v>
      </c>
    </row>
    <row r="120" spans="1:28" ht="45" hidden="1" customHeight="1" x14ac:dyDescent="0.25">
      <c r="A120" s="1" t="s">
        <v>936</v>
      </c>
      <c r="B120" s="12" t="s">
        <v>1163</v>
      </c>
      <c r="C120" s="1" t="s">
        <v>937</v>
      </c>
      <c r="D120" s="1" t="s">
        <v>938</v>
      </c>
      <c r="E120" s="1" t="s">
        <v>45</v>
      </c>
      <c r="F120" s="1" t="s">
        <v>46</v>
      </c>
      <c r="G120" s="1" t="s">
        <v>939</v>
      </c>
      <c r="H120" s="1" t="str">
        <f t="shared" si="3"/>
        <v xml:space="preserve">RO1    </v>
      </c>
      <c r="I120" s="1" t="s">
        <v>28</v>
      </c>
      <c r="J120" s="1"/>
      <c r="K120" s="1"/>
      <c r="L120" s="1"/>
      <c r="M120" s="1"/>
      <c r="N120" s="1" t="s">
        <v>940</v>
      </c>
      <c r="O120" s="1" t="s">
        <v>623</v>
      </c>
      <c r="P120" s="1" t="s">
        <v>941</v>
      </c>
      <c r="Q120" s="1" t="s">
        <v>942</v>
      </c>
      <c r="R120" s="1" t="s">
        <v>943</v>
      </c>
      <c r="S120" s="1" t="s">
        <v>224</v>
      </c>
      <c r="T120" s="21" t="s">
        <v>944</v>
      </c>
      <c r="U120" s="28" t="s">
        <v>635</v>
      </c>
      <c r="V120" s="22" t="s">
        <v>945</v>
      </c>
      <c r="W120" t="s">
        <v>1228</v>
      </c>
      <c r="X120" s="15" t="s">
        <v>1230</v>
      </c>
      <c r="Y120" s="15" t="s">
        <v>1402</v>
      </c>
      <c r="Z120" s="15" t="s">
        <v>1305</v>
      </c>
      <c r="AA120" s="38" t="s">
        <v>1425</v>
      </c>
      <c r="AB120" s="38" t="s">
        <v>1428</v>
      </c>
    </row>
    <row r="121" spans="1:28" ht="45" customHeight="1" x14ac:dyDescent="0.25">
      <c r="A121" s="48" t="s">
        <v>946</v>
      </c>
      <c r="B121" s="7" t="s">
        <v>72</v>
      </c>
      <c r="C121" s="53" t="s">
        <v>947</v>
      </c>
      <c r="D121" s="53" t="s">
        <v>1506</v>
      </c>
      <c r="E121" s="55">
        <v>2026</v>
      </c>
      <c r="F121" s="46" t="s">
        <v>948</v>
      </c>
      <c r="G121" s="53" t="s">
        <v>949</v>
      </c>
      <c r="H121" s="48" t="str">
        <f t="shared" si="3"/>
        <v xml:space="preserve">  RO3  </v>
      </c>
      <c r="I121" s="48"/>
      <c r="J121" s="48"/>
      <c r="K121" s="48" t="s">
        <v>48</v>
      </c>
      <c r="L121" s="48"/>
      <c r="M121" s="48"/>
      <c r="N121" s="53" t="s">
        <v>950</v>
      </c>
      <c r="O121" s="53" t="s">
        <v>951</v>
      </c>
      <c r="P121" s="53" t="s">
        <v>952</v>
      </c>
      <c r="Q121" s="53" t="s">
        <v>953</v>
      </c>
      <c r="R121" s="53" t="s">
        <v>954</v>
      </c>
      <c r="S121" s="53" t="s">
        <v>955</v>
      </c>
      <c r="T121" s="53" t="s">
        <v>956</v>
      </c>
      <c r="U121" s="25" t="s">
        <v>1185</v>
      </c>
      <c r="V121" s="15" t="s">
        <v>957</v>
      </c>
      <c r="W121" s="38" t="s">
        <v>1422</v>
      </c>
      <c r="X121" s="15" t="s">
        <v>1229</v>
      </c>
      <c r="Y121" s="15" t="s">
        <v>1145</v>
      </c>
      <c r="Z121" s="15" t="s">
        <v>1382</v>
      </c>
      <c r="AA121" s="15" t="s">
        <v>1427</v>
      </c>
      <c r="AB121" s="38" t="s">
        <v>1429</v>
      </c>
    </row>
    <row r="122" spans="1:28" ht="45" customHeight="1" x14ac:dyDescent="0.25">
      <c r="A122" s="48" t="s">
        <v>958</v>
      </c>
      <c r="B122" s="2" t="s">
        <v>23</v>
      </c>
      <c r="C122" s="53" t="s">
        <v>1242</v>
      </c>
      <c r="D122" s="53" t="s">
        <v>959</v>
      </c>
      <c r="E122" s="55">
        <v>2025</v>
      </c>
      <c r="F122" s="46" t="s">
        <v>1459</v>
      </c>
      <c r="G122" s="53" t="s">
        <v>960</v>
      </c>
      <c r="H122" s="48" t="str">
        <f t="shared" si="3"/>
        <v>RO1 RO2 RO3 RO4 RO5</v>
      </c>
      <c r="I122" s="48" t="s">
        <v>28</v>
      </c>
      <c r="J122" s="48" t="s">
        <v>29</v>
      </c>
      <c r="K122" s="48" t="s">
        <v>48</v>
      </c>
      <c r="L122" s="48" t="s">
        <v>30</v>
      </c>
      <c r="M122" s="48" t="s">
        <v>31</v>
      </c>
      <c r="N122" s="53" t="s">
        <v>961</v>
      </c>
      <c r="O122" s="53" t="s">
        <v>962</v>
      </c>
      <c r="P122" s="53" t="s">
        <v>963</v>
      </c>
      <c r="Q122" s="53" t="s">
        <v>964</v>
      </c>
      <c r="R122" s="53" t="s">
        <v>965</v>
      </c>
      <c r="S122" s="53" t="s">
        <v>966</v>
      </c>
      <c r="T122" s="53" t="s">
        <v>967</v>
      </c>
      <c r="U122" s="33" t="s">
        <v>1208</v>
      </c>
      <c r="V122" s="15" t="s">
        <v>968</v>
      </c>
      <c r="W122" s="38" t="s">
        <v>1422</v>
      </c>
      <c r="X122" s="15" t="s">
        <v>1230</v>
      </c>
      <c r="Y122" s="15" t="s">
        <v>1401</v>
      </c>
      <c r="Z122" s="15" t="s">
        <v>1322</v>
      </c>
      <c r="AA122" s="38" t="s">
        <v>1427</v>
      </c>
      <c r="AB122" s="38" t="s">
        <v>1428</v>
      </c>
    </row>
    <row r="123" spans="1:28" s="24" customFormat="1" ht="80" customHeight="1" x14ac:dyDescent="0.2">
      <c r="A123" t="s">
        <v>969</v>
      </c>
      <c r="B123" s="7" t="s">
        <v>72</v>
      </c>
      <c r="C123" s="57" t="s">
        <v>970</v>
      </c>
      <c r="D123" s="58" t="s">
        <v>971</v>
      </c>
      <c r="E123" s="59">
        <v>2025</v>
      </c>
      <c r="F123" s="24" t="s">
        <v>972</v>
      </c>
      <c r="G123" s="60" t="s">
        <v>973</v>
      </c>
      <c r="H123" s="60" t="str">
        <f t="shared" si="3"/>
        <v xml:space="preserve">  RO3  </v>
      </c>
      <c r="I123" s="60"/>
      <c r="J123" s="60"/>
      <c r="K123" s="60" t="s">
        <v>48</v>
      </c>
      <c r="L123" s="60"/>
      <c r="M123" s="60"/>
      <c r="N123" s="57" t="s">
        <v>974</v>
      </c>
      <c r="O123" s="57" t="s">
        <v>975</v>
      </c>
      <c r="P123" s="57" t="s">
        <v>976</v>
      </c>
      <c r="Q123" s="57" t="s">
        <v>977</v>
      </c>
      <c r="R123" s="57" t="s">
        <v>978</v>
      </c>
      <c r="S123" s="60" t="s">
        <v>979</v>
      </c>
      <c r="T123" s="60" t="s">
        <v>980</v>
      </c>
      <c r="U123" s="25" t="s">
        <v>1188</v>
      </c>
      <c r="V123" s="15" t="s">
        <v>1277</v>
      </c>
      <c r="W123" s="15" t="s">
        <v>1226</v>
      </c>
      <c r="X123" s="15" t="s">
        <v>1229</v>
      </c>
      <c r="Y123" s="15" t="s">
        <v>1145</v>
      </c>
      <c r="Z123" s="36" t="s">
        <v>1383</v>
      </c>
      <c r="AA123" s="15" t="s">
        <v>1427</v>
      </c>
      <c r="AB123" s="15" t="s">
        <v>1429</v>
      </c>
    </row>
    <row r="124" spans="1:28" ht="48" customHeight="1" x14ac:dyDescent="0.25">
      <c r="A124" t="s">
        <v>981</v>
      </c>
      <c r="B124" s="2" t="s">
        <v>23</v>
      </c>
      <c r="C124" s="60" t="s">
        <v>982</v>
      </c>
      <c r="D124" s="57" t="s">
        <v>983</v>
      </c>
      <c r="E124" s="59">
        <v>2026</v>
      </c>
      <c r="F124" t="s">
        <v>138</v>
      </c>
      <c r="G124" s="60" t="s">
        <v>984</v>
      </c>
      <c r="H124" s="60" t="str">
        <f t="shared" si="3"/>
        <v xml:space="preserve">  RO3 RO4 RO5</v>
      </c>
      <c r="I124" s="60"/>
      <c r="J124" s="60"/>
      <c r="K124" s="60" t="s">
        <v>48</v>
      </c>
      <c r="L124" s="60" t="s">
        <v>30</v>
      </c>
      <c r="M124" s="60" t="s">
        <v>31</v>
      </c>
      <c r="N124" s="57" t="s">
        <v>985</v>
      </c>
      <c r="O124" s="57" t="s">
        <v>986</v>
      </c>
      <c r="P124" s="57" t="s">
        <v>987</v>
      </c>
      <c r="Q124" s="57" t="s">
        <v>988</v>
      </c>
      <c r="R124" s="57" t="s">
        <v>989</v>
      </c>
      <c r="S124" s="60" t="s">
        <v>990</v>
      </c>
      <c r="T124" s="60" t="s">
        <v>991</v>
      </c>
      <c r="U124" s="25" t="s">
        <v>1184</v>
      </c>
      <c r="V124" s="20" t="s">
        <v>992</v>
      </c>
      <c r="W124" s="38" t="s">
        <v>1422</v>
      </c>
      <c r="X124" s="15" t="s">
        <v>1229</v>
      </c>
      <c r="Y124" s="15" t="s">
        <v>1144</v>
      </c>
      <c r="Z124" s="15" t="s">
        <v>1323</v>
      </c>
      <c r="AA124" s="15" t="s">
        <v>1427</v>
      </c>
      <c r="AB124" s="15" t="s">
        <v>1429</v>
      </c>
    </row>
    <row r="125" spans="1:28" ht="48" customHeight="1" x14ac:dyDescent="0.25">
      <c r="A125" t="s">
        <v>993</v>
      </c>
      <c r="B125" s="42" t="s">
        <v>1163</v>
      </c>
      <c r="C125" s="57" t="s">
        <v>994</v>
      </c>
      <c r="D125" s="58" t="s">
        <v>1462</v>
      </c>
      <c r="E125" s="59">
        <v>2024</v>
      </c>
      <c r="F125" t="s">
        <v>138</v>
      </c>
      <c r="G125" s="60" t="s">
        <v>995</v>
      </c>
      <c r="H125" s="60" t="str">
        <f t="shared" si="3"/>
        <v xml:space="preserve">  RO3  RO5</v>
      </c>
      <c r="I125" s="60"/>
      <c r="J125" s="60"/>
      <c r="K125" s="60" t="s">
        <v>48</v>
      </c>
      <c r="L125" s="60"/>
      <c r="M125" s="60" t="s">
        <v>31</v>
      </c>
      <c r="N125" s="57" t="s">
        <v>996</v>
      </c>
      <c r="O125" s="57" t="s">
        <v>997</v>
      </c>
      <c r="P125" s="57" t="s">
        <v>998</v>
      </c>
      <c r="Q125" s="57" t="s">
        <v>999</v>
      </c>
      <c r="R125" s="57" t="s">
        <v>1000</v>
      </c>
      <c r="S125" s="60" t="s">
        <v>1001</v>
      </c>
      <c r="T125" s="60" t="s">
        <v>1002</v>
      </c>
      <c r="U125" s="25" t="s">
        <v>1188</v>
      </c>
      <c r="V125" s="20" t="s">
        <v>1003</v>
      </c>
      <c r="W125" s="38" t="s">
        <v>1422</v>
      </c>
      <c r="X125" s="15" t="s">
        <v>1229</v>
      </c>
      <c r="Y125" s="15" t="s">
        <v>1145</v>
      </c>
      <c r="Z125" s="20" t="s">
        <v>1265</v>
      </c>
      <c r="AA125" s="15" t="s">
        <v>1427</v>
      </c>
      <c r="AB125" s="15" t="s">
        <v>1429</v>
      </c>
    </row>
    <row r="126" spans="1:28" ht="48" customHeight="1" x14ac:dyDescent="0.25">
      <c r="A126" t="s">
        <v>1004</v>
      </c>
      <c r="B126" s="7" t="s">
        <v>72</v>
      </c>
      <c r="C126" s="60" t="s">
        <v>1005</v>
      </c>
      <c r="D126" s="58" t="s">
        <v>1006</v>
      </c>
      <c r="E126" s="59">
        <v>2019</v>
      </c>
      <c r="F126" t="s">
        <v>138</v>
      </c>
      <c r="G126" s="60" t="s">
        <v>1007</v>
      </c>
      <c r="H126" s="60" t="str">
        <f t="shared" si="3"/>
        <v xml:space="preserve">    RO5</v>
      </c>
      <c r="I126" s="60"/>
      <c r="J126" s="60"/>
      <c r="K126" s="60"/>
      <c r="L126" s="60"/>
      <c r="M126" s="60" t="s">
        <v>31</v>
      </c>
      <c r="N126" s="57" t="s">
        <v>1008</v>
      </c>
      <c r="O126" s="57" t="s">
        <v>1009</v>
      </c>
      <c r="P126" s="57" t="s">
        <v>1010</v>
      </c>
      <c r="Q126" s="57" t="s">
        <v>1011</v>
      </c>
      <c r="R126" s="57" t="s">
        <v>1012</v>
      </c>
      <c r="S126" s="60" t="s">
        <v>1013</v>
      </c>
      <c r="T126" s="60" t="s">
        <v>1014</v>
      </c>
      <c r="U126" s="25" t="s">
        <v>1188</v>
      </c>
      <c r="V126" s="15" t="s">
        <v>1015</v>
      </c>
      <c r="W126" s="38" t="s">
        <v>1226</v>
      </c>
      <c r="X126" s="15" t="s">
        <v>1229</v>
      </c>
      <c r="Y126" s="15" t="s">
        <v>1145</v>
      </c>
      <c r="Z126" s="15" t="s">
        <v>1384</v>
      </c>
      <c r="AA126" s="15" t="s">
        <v>1427</v>
      </c>
      <c r="AB126" s="15" t="s">
        <v>1428</v>
      </c>
    </row>
    <row r="127" spans="1:28" ht="117" customHeight="1" x14ac:dyDescent="0.25">
      <c r="A127" s="17" t="s">
        <v>1016</v>
      </c>
      <c r="B127" s="2" t="s">
        <v>23</v>
      </c>
      <c r="C127" s="17" t="s">
        <v>1017</v>
      </c>
      <c r="D127" s="17" t="s">
        <v>1018</v>
      </c>
      <c r="E127" s="56" t="s">
        <v>60</v>
      </c>
      <c r="F127" s="17" t="s">
        <v>138</v>
      </c>
      <c r="G127" s="17" t="s">
        <v>1019</v>
      </c>
      <c r="H127" s="17" t="str">
        <f t="shared" si="3"/>
        <v xml:space="preserve">  RO3 RO4 RO5</v>
      </c>
      <c r="I127" s="17"/>
      <c r="J127" s="17"/>
      <c r="K127" s="17" t="s">
        <v>48</v>
      </c>
      <c r="L127" s="17" t="s">
        <v>30</v>
      </c>
      <c r="M127" s="17" t="s">
        <v>31</v>
      </c>
      <c r="N127" s="17" t="s">
        <v>1020</v>
      </c>
      <c r="O127" s="17" t="s">
        <v>1021</v>
      </c>
      <c r="P127" s="17" t="s">
        <v>1022</v>
      </c>
      <c r="Q127" s="17" t="s">
        <v>1023</v>
      </c>
      <c r="R127" s="17" t="s">
        <v>1024</v>
      </c>
      <c r="S127" s="17" t="s">
        <v>1025</v>
      </c>
      <c r="T127" s="17" t="s">
        <v>1026</v>
      </c>
      <c r="U127" s="25" t="s">
        <v>1181</v>
      </c>
      <c r="V127" s="17" t="s">
        <v>1027</v>
      </c>
      <c r="W127" s="38" t="s">
        <v>1422</v>
      </c>
      <c r="X127" s="15" t="s">
        <v>1229</v>
      </c>
      <c r="Y127" s="15" t="s">
        <v>1144</v>
      </c>
      <c r="Z127" s="15" t="s">
        <v>1324</v>
      </c>
      <c r="AA127" s="15" t="s">
        <v>1427</v>
      </c>
      <c r="AB127" s="15" t="s">
        <v>1429</v>
      </c>
    </row>
    <row r="128" spans="1:28" ht="102" customHeight="1" x14ac:dyDescent="0.25">
      <c r="A128" s="17" t="s">
        <v>1028</v>
      </c>
      <c r="B128" s="7" t="s">
        <v>72</v>
      </c>
      <c r="C128" s="17" t="s">
        <v>1029</v>
      </c>
      <c r="D128" s="17" t="s">
        <v>1030</v>
      </c>
      <c r="E128" s="56" t="s">
        <v>303</v>
      </c>
      <c r="F128" s="17" t="s">
        <v>1031</v>
      </c>
      <c r="G128" s="17" t="s">
        <v>1032</v>
      </c>
      <c r="H128" s="17" t="str">
        <f t="shared" si="3"/>
        <v xml:space="preserve">    RO5</v>
      </c>
      <c r="I128" s="17"/>
      <c r="J128" s="17"/>
      <c r="K128" s="17"/>
      <c r="L128" s="17"/>
      <c r="M128" s="17" t="s">
        <v>31</v>
      </c>
      <c r="N128" s="17" t="s">
        <v>1033</v>
      </c>
      <c r="O128" s="17" t="s">
        <v>1034</v>
      </c>
      <c r="P128" s="17" t="s">
        <v>1035</v>
      </c>
      <c r="Q128" s="17" t="s">
        <v>1036</v>
      </c>
      <c r="R128" s="17" t="s">
        <v>1037</v>
      </c>
      <c r="S128" s="17" t="s">
        <v>1038</v>
      </c>
      <c r="T128" s="17" t="s">
        <v>1039</v>
      </c>
      <c r="U128" s="25" t="s">
        <v>1184</v>
      </c>
      <c r="V128" s="17" t="s">
        <v>1040</v>
      </c>
      <c r="W128" s="38" t="s">
        <v>1226</v>
      </c>
      <c r="X128" s="15" t="s">
        <v>1229</v>
      </c>
      <c r="Y128" s="15" t="s">
        <v>1144</v>
      </c>
      <c r="Z128" s="15" t="s">
        <v>1385</v>
      </c>
      <c r="AA128" s="38" t="s">
        <v>1425</v>
      </c>
      <c r="AB128" s="38" t="s">
        <v>1428</v>
      </c>
    </row>
    <row r="129" spans="1:28" ht="103" customHeight="1" x14ac:dyDescent="0.25">
      <c r="A129" s="51" t="s">
        <v>1041</v>
      </c>
      <c r="B129" s="42" t="s">
        <v>42</v>
      </c>
      <c r="C129" s="17" t="s">
        <v>1042</v>
      </c>
      <c r="D129" s="17" t="s">
        <v>1043</v>
      </c>
      <c r="E129" s="56" t="s">
        <v>60</v>
      </c>
      <c r="F129" s="17" t="s">
        <v>26</v>
      </c>
      <c r="G129" s="17" t="s">
        <v>1044</v>
      </c>
      <c r="H129" s="17" t="str">
        <f t="shared" si="3"/>
        <v xml:space="preserve">  RO3  RO5</v>
      </c>
      <c r="I129" s="17"/>
      <c r="J129" s="17"/>
      <c r="K129" s="17" t="s">
        <v>48</v>
      </c>
      <c r="L129" s="17"/>
      <c r="M129" s="17" t="s">
        <v>31</v>
      </c>
      <c r="N129" s="17" t="s">
        <v>1045</v>
      </c>
      <c r="O129" s="17" t="s">
        <v>1046</v>
      </c>
      <c r="P129" s="17" t="s">
        <v>1047</v>
      </c>
      <c r="Q129" s="17" t="s">
        <v>1048</v>
      </c>
      <c r="R129" s="17" t="s">
        <v>1049</v>
      </c>
      <c r="S129" s="17" t="s">
        <v>1050</v>
      </c>
      <c r="T129" s="17" t="s">
        <v>1051</v>
      </c>
      <c r="U129" s="25" t="s">
        <v>39</v>
      </c>
      <c r="V129" s="17" t="s">
        <v>1052</v>
      </c>
      <c r="W129" s="38" t="s">
        <v>1422</v>
      </c>
      <c r="X129" s="15" t="s">
        <v>1229</v>
      </c>
      <c r="Y129" t="s">
        <v>1147</v>
      </c>
      <c r="Z129" s="15" t="s">
        <v>1266</v>
      </c>
      <c r="AA129" s="15" t="s">
        <v>1427</v>
      </c>
      <c r="AB129" s="15" t="s">
        <v>1429</v>
      </c>
    </row>
    <row r="130" spans="1:28" ht="99" customHeight="1" x14ac:dyDescent="0.25">
      <c r="A130" s="51" t="s">
        <v>1053</v>
      </c>
      <c r="B130" s="42" t="s">
        <v>42</v>
      </c>
      <c r="C130" s="17" t="s">
        <v>1054</v>
      </c>
      <c r="D130" s="17" t="s">
        <v>1055</v>
      </c>
      <c r="E130" s="56" t="s">
        <v>45</v>
      </c>
      <c r="F130" s="17" t="s">
        <v>1056</v>
      </c>
      <c r="G130" s="17" t="s">
        <v>1057</v>
      </c>
      <c r="H130" s="17" t="str">
        <f t="shared" si="3"/>
        <v xml:space="preserve">  RO3  RO5</v>
      </c>
      <c r="I130" s="17"/>
      <c r="J130" s="17"/>
      <c r="K130" s="17" t="s">
        <v>48</v>
      </c>
      <c r="L130" s="17"/>
      <c r="M130" s="17" t="s">
        <v>31</v>
      </c>
      <c r="N130" s="17" t="s">
        <v>1058</v>
      </c>
      <c r="O130" s="17" t="s">
        <v>1059</v>
      </c>
      <c r="P130" s="17" t="s">
        <v>1060</v>
      </c>
      <c r="Q130" s="17" t="s">
        <v>1061</v>
      </c>
      <c r="R130" s="17" t="s">
        <v>1062</v>
      </c>
      <c r="S130" s="17" t="s">
        <v>1063</v>
      </c>
      <c r="T130" s="17" t="s">
        <v>1064</v>
      </c>
      <c r="U130" s="25" t="s">
        <v>1189</v>
      </c>
      <c r="V130" s="17" t="s">
        <v>1065</v>
      </c>
      <c r="W130" s="38" t="s">
        <v>1422</v>
      </c>
      <c r="X130" s="15" t="s">
        <v>1229</v>
      </c>
      <c r="Y130" s="15" t="s">
        <v>1145</v>
      </c>
      <c r="Z130" s="15" t="s">
        <v>1267</v>
      </c>
      <c r="AA130" s="15" t="s">
        <v>1427</v>
      </c>
      <c r="AB130" s="15" t="s">
        <v>1429</v>
      </c>
    </row>
    <row r="131" spans="1:28" ht="58" customHeight="1" x14ac:dyDescent="0.25">
      <c r="A131" s="17" t="s">
        <v>1066</v>
      </c>
      <c r="B131" s="12" t="s">
        <v>1163</v>
      </c>
      <c r="C131" s="17" t="s">
        <v>1067</v>
      </c>
      <c r="D131" s="17" t="s">
        <v>1068</v>
      </c>
      <c r="E131" s="56" t="s">
        <v>773</v>
      </c>
      <c r="F131" s="17" t="s">
        <v>46</v>
      </c>
      <c r="G131" s="17" t="s">
        <v>1069</v>
      </c>
      <c r="H131" s="17" t="str">
        <f t="shared" ref="H131:H138" si="4">I131&amp;" "&amp;J131&amp;" "&amp;K131&amp;" "&amp;L131&amp;" "&amp;M131</f>
        <v xml:space="preserve">    RO5</v>
      </c>
      <c r="I131" s="17"/>
      <c r="J131" s="17"/>
      <c r="K131" s="17"/>
      <c r="L131" s="17"/>
      <c r="M131" s="17" t="s">
        <v>31</v>
      </c>
      <c r="N131" s="17" t="s">
        <v>1070</v>
      </c>
      <c r="O131" s="17" t="s">
        <v>63</v>
      </c>
      <c r="P131" s="17" t="s">
        <v>1071</v>
      </c>
      <c r="Q131" s="17" t="s">
        <v>1072</v>
      </c>
      <c r="R131" s="17" t="s">
        <v>1073</v>
      </c>
      <c r="S131" s="17" t="s">
        <v>1074</v>
      </c>
      <c r="T131" s="17" t="s">
        <v>1505</v>
      </c>
      <c r="U131" s="34" t="s">
        <v>1189</v>
      </c>
      <c r="V131" s="17" t="s">
        <v>1075</v>
      </c>
      <c r="W131" s="38" t="s">
        <v>1422</v>
      </c>
      <c r="X131" s="15" t="s">
        <v>1229</v>
      </c>
      <c r="Y131" s="15" t="s">
        <v>1145</v>
      </c>
      <c r="Z131" s="15" t="s">
        <v>1298</v>
      </c>
      <c r="AA131" s="15" t="s">
        <v>1427</v>
      </c>
      <c r="AB131" s="15" t="s">
        <v>1429</v>
      </c>
    </row>
    <row r="132" spans="1:28" ht="138" customHeight="1" x14ac:dyDescent="0.25">
      <c r="A132" s="17" t="s">
        <v>1076</v>
      </c>
      <c r="B132" s="7" t="s">
        <v>72</v>
      </c>
      <c r="C132" s="17" t="s">
        <v>1077</v>
      </c>
      <c r="D132" s="17" t="s">
        <v>1512</v>
      </c>
      <c r="E132" s="56" t="s">
        <v>60</v>
      </c>
      <c r="F132" s="17" t="s">
        <v>1078</v>
      </c>
      <c r="G132" s="17" t="s">
        <v>1079</v>
      </c>
      <c r="H132" s="17" t="str">
        <f t="shared" si="4"/>
        <v xml:space="preserve">  RO3 RO4 </v>
      </c>
      <c r="I132" s="17"/>
      <c r="J132" s="17"/>
      <c r="K132" s="17" t="s">
        <v>48</v>
      </c>
      <c r="L132" s="17" t="s">
        <v>30</v>
      </c>
      <c r="M132" s="17"/>
      <c r="N132" s="17" t="s">
        <v>1080</v>
      </c>
      <c r="O132" s="17" t="s">
        <v>1081</v>
      </c>
      <c r="P132" s="17" t="s">
        <v>1082</v>
      </c>
      <c r="Q132" s="17" t="s">
        <v>1083</v>
      </c>
      <c r="R132" s="17" t="s">
        <v>1084</v>
      </c>
      <c r="S132" s="17" t="s">
        <v>1085</v>
      </c>
      <c r="T132" s="17" t="s">
        <v>1086</v>
      </c>
      <c r="U132" s="28" t="s">
        <v>1087</v>
      </c>
      <c r="V132" s="17" t="s">
        <v>1088</v>
      </c>
      <c r="W132" s="38" t="s">
        <v>1422</v>
      </c>
      <c r="X132" s="15" t="s">
        <v>1231</v>
      </c>
      <c r="Y132" s="15" t="s">
        <v>1411</v>
      </c>
      <c r="Z132" s="15" t="s">
        <v>1390</v>
      </c>
      <c r="AA132" s="15" t="s">
        <v>1426</v>
      </c>
      <c r="AB132" s="15" t="s">
        <v>1429</v>
      </c>
    </row>
    <row r="133" spans="1:28" ht="143" customHeight="1" x14ac:dyDescent="0.25">
      <c r="A133" s="17" t="s">
        <v>1089</v>
      </c>
      <c r="B133" s="7" t="s">
        <v>72</v>
      </c>
      <c r="C133" s="17" t="s">
        <v>1090</v>
      </c>
      <c r="D133" s="17" t="s">
        <v>1091</v>
      </c>
      <c r="E133" s="56">
        <v>2025</v>
      </c>
      <c r="F133" s="17" t="s">
        <v>1092</v>
      </c>
      <c r="G133" s="17" t="s">
        <v>1093</v>
      </c>
      <c r="H133" s="17" t="str">
        <f t="shared" si="4"/>
        <v xml:space="preserve"> RO2   </v>
      </c>
      <c r="I133" s="17"/>
      <c r="J133" s="17" t="s">
        <v>29</v>
      </c>
      <c r="K133" s="17"/>
      <c r="L133" s="17"/>
      <c r="M133" s="17"/>
      <c r="N133" s="17" t="s">
        <v>1094</v>
      </c>
      <c r="O133" s="17" t="s">
        <v>1095</v>
      </c>
      <c r="P133" s="17" t="s">
        <v>1096</v>
      </c>
      <c r="Q133" s="17" t="s">
        <v>1097</v>
      </c>
      <c r="R133" s="17" t="s">
        <v>1098</v>
      </c>
      <c r="S133" s="17" t="s">
        <v>1099</v>
      </c>
      <c r="T133" s="17" t="s">
        <v>1100</v>
      </c>
      <c r="U133" s="32" t="s">
        <v>1200</v>
      </c>
      <c r="V133" s="17" t="s">
        <v>1477</v>
      </c>
      <c r="W133" s="38" t="s">
        <v>1422</v>
      </c>
      <c r="X133" s="38" t="s">
        <v>1201</v>
      </c>
      <c r="Y133"/>
      <c r="Z133" s="15" t="s">
        <v>1356</v>
      </c>
      <c r="AA133" s="15" t="s">
        <v>1427</v>
      </c>
      <c r="AB133" s="15" t="s">
        <v>1429</v>
      </c>
    </row>
    <row r="134" spans="1:28" ht="92" customHeight="1" x14ac:dyDescent="0.25">
      <c r="A134" s="17" t="s">
        <v>1101</v>
      </c>
      <c r="B134" s="12" t="s">
        <v>1163</v>
      </c>
      <c r="C134" s="17" t="s">
        <v>1102</v>
      </c>
      <c r="D134" s="17" t="s">
        <v>1103</v>
      </c>
      <c r="E134" s="56">
        <v>2004</v>
      </c>
      <c r="F134" s="17" t="s">
        <v>1104</v>
      </c>
      <c r="G134" s="17" t="s">
        <v>1105</v>
      </c>
      <c r="H134" s="17" t="str">
        <f t="shared" si="4"/>
        <v xml:space="preserve">   RO4 </v>
      </c>
      <c r="I134" s="17"/>
      <c r="J134" s="17"/>
      <c r="K134" s="17"/>
      <c r="L134" s="17" t="s">
        <v>30</v>
      </c>
      <c r="M134" s="17"/>
      <c r="N134" s="17" t="s">
        <v>1106</v>
      </c>
      <c r="O134" s="17" t="s">
        <v>1107</v>
      </c>
      <c r="P134" s="17" t="s">
        <v>1108</v>
      </c>
      <c r="Q134" s="17" t="s">
        <v>1109</v>
      </c>
      <c r="R134" s="17" t="s">
        <v>1110</v>
      </c>
      <c r="S134" s="17" t="s">
        <v>1111</v>
      </c>
      <c r="T134" s="17" t="s">
        <v>1112</v>
      </c>
      <c r="U134" s="34" t="s">
        <v>1200</v>
      </c>
      <c r="V134" s="17" t="s">
        <v>1113</v>
      </c>
      <c r="W134" s="38" t="s">
        <v>1422</v>
      </c>
      <c r="X134" s="38" t="s">
        <v>1201</v>
      </c>
      <c r="Y134"/>
      <c r="Z134" s="15" t="s">
        <v>1299</v>
      </c>
      <c r="AA134" s="15" t="s">
        <v>1427</v>
      </c>
      <c r="AB134" s="15" t="s">
        <v>1430</v>
      </c>
    </row>
    <row r="135" spans="1:28" ht="112" customHeight="1" x14ac:dyDescent="0.2">
      <c r="A135" s="17" t="s">
        <v>1114</v>
      </c>
      <c r="B135" s="12" t="s">
        <v>1163</v>
      </c>
      <c r="C135" s="17" t="s">
        <v>1115</v>
      </c>
      <c r="D135" s="17" t="s">
        <v>1116</v>
      </c>
      <c r="E135" s="59">
        <v>2025</v>
      </c>
      <c r="F135" s="17" t="s">
        <v>728</v>
      </c>
      <c r="G135" s="60"/>
      <c r="H135" s="17" t="str">
        <f t="shared" si="4"/>
        <v xml:space="preserve">    RO5</v>
      </c>
      <c r="I135" s="60"/>
      <c r="J135" s="60"/>
      <c r="K135" s="60"/>
      <c r="L135" s="60"/>
      <c r="M135" s="60" t="s">
        <v>31</v>
      </c>
      <c r="N135" s="57" t="s">
        <v>1232</v>
      </c>
      <c r="O135" s="57" t="s">
        <v>1233</v>
      </c>
      <c r="P135" s="57" t="s">
        <v>1234</v>
      </c>
      <c r="Q135" s="57" t="s">
        <v>1235</v>
      </c>
      <c r="R135" s="57" t="s">
        <v>1236</v>
      </c>
      <c r="S135" s="57" t="s">
        <v>1237</v>
      </c>
      <c r="T135" s="57" t="s">
        <v>1238</v>
      </c>
      <c r="U135" s="31" t="s">
        <v>756</v>
      </c>
      <c r="W135" s="15" t="s">
        <v>1226</v>
      </c>
      <c r="X135" s="15" t="s">
        <v>1231</v>
      </c>
      <c r="Y135" s="15" t="s">
        <v>1412</v>
      </c>
      <c r="Z135" s="15" t="s">
        <v>1239</v>
      </c>
      <c r="AA135" s="15" t="s">
        <v>1427</v>
      </c>
      <c r="AB135" s="15" t="s">
        <v>1430</v>
      </c>
    </row>
    <row r="136" spans="1:28" ht="182" customHeight="1" x14ac:dyDescent="0.25">
      <c r="A136" s="17" t="s">
        <v>1117</v>
      </c>
      <c r="B136" s="2" t="s">
        <v>23</v>
      </c>
      <c r="C136" s="17" t="s">
        <v>1118</v>
      </c>
      <c r="D136" s="17" t="s">
        <v>1119</v>
      </c>
      <c r="E136" s="59">
        <v>2024</v>
      </c>
      <c r="F136" s="17" t="s">
        <v>1120</v>
      </c>
      <c r="G136" s="17" t="s">
        <v>1121</v>
      </c>
      <c r="H136" s="17" t="str">
        <f t="shared" si="4"/>
        <v xml:space="preserve"> RO2 RO3  </v>
      </c>
      <c r="I136" s="60"/>
      <c r="J136" s="60" t="s">
        <v>29</v>
      </c>
      <c r="K136" s="60" t="s">
        <v>48</v>
      </c>
      <c r="L136" s="60"/>
      <c r="M136" s="60"/>
      <c r="N136" s="17" t="s">
        <v>1122</v>
      </c>
      <c r="O136" s="17" t="s">
        <v>1123</v>
      </c>
      <c r="P136" s="57"/>
      <c r="Q136" s="57"/>
      <c r="R136" s="57"/>
      <c r="S136" s="60"/>
      <c r="T136" s="17" t="s">
        <v>1124</v>
      </c>
      <c r="U136" s="28" t="s">
        <v>1125</v>
      </c>
      <c r="W136" s="38" t="s">
        <v>1422</v>
      </c>
      <c r="X136" s="15" t="s">
        <v>1231</v>
      </c>
      <c r="Y136" s="15" t="s">
        <v>1149</v>
      </c>
      <c r="Z136" s="15" t="s">
        <v>1325</v>
      </c>
      <c r="AA136" s="15" t="s">
        <v>1426</v>
      </c>
      <c r="AB136" s="15" t="s">
        <v>1429</v>
      </c>
    </row>
    <row r="137" spans="1:28" ht="112" customHeight="1" x14ac:dyDescent="0.25">
      <c r="A137" s="17" t="s">
        <v>1126</v>
      </c>
      <c r="B137" s="12" t="s">
        <v>1163</v>
      </c>
      <c r="C137" s="17" t="s">
        <v>1127</v>
      </c>
      <c r="D137" s="17" t="s">
        <v>1128</v>
      </c>
      <c r="E137" s="56">
        <v>2025</v>
      </c>
      <c r="F137" s="17" t="s">
        <v>728</v>
      </c>
      <c r="G137" s="60"/>
      <c r="H137" s="17" t="str">
        <f t="shared" si="4"/>
        <v>RO1   RO4 RO5</v>
      </c>
      <c r="I137" s="60" t="s">
        <v>28</v>
      </c>
      <c r="J137" s="60"/>
      <c r="K137" s="60"/>
      <c r="L137" s="60" t="s">
        <v>30</v>
      </c>
      <c r="M137" s="60" t="s">
        <v>31</v>
      </c>
      <c r="N137" s="57"/>
      <c r="O137" s="57"/>
      <c r="P137" s="57"/>
      <c r="Q137" s="57"/>
      <c r="R137" s="57"/>
      <c r="S137" s="60"/>
      <c r="T137" s="60"/>
      <c r="U137" s="28" t="s">
        <v>1129</v>
      </c>
      <c r="V137" s="20" t="s">
        <v>1241</v>
      </c>
      <c r="W137" s="38" t="s">
        <v>1226</v>
      </c>
      <c r="X137" s="15" t="s">
        <v>1231</v>
      </c>
      <c r="Y137" s="15" t="s">
        <v>1413</v>
      </c>
      <c r="Z137" s="20" t="s">
        <v>1240</v>
      </c>
      <c r="AA137" s="15" t="s">
        <v>1427</v>
      </c>
      <c r="AB137" s="15" t="s">
        <v>1429</v>
      </c>
    </row>
    <row r="138" spans="1:28" ht="176" customHeight="1" x14ac:dyDescent="0.25">
      <c r="A138" s="17" t="s">
        <v>1130</v>
      </c>
      <c r="B138" s="2" t="s">
        <v>23</v>
      </c>
      <c r="C138" s="17" t="s">
        <v>1131</v>
      </c>
      <c r="D138" s="17" t="s">
        <v>1132</v>
      </c>
      <c r="E138" s="59">
        <v>2025</v>
      </c>
      <c r="F138" s="17" t="s">
        <v>1133</v>
      </c>
      <c r="G138" s="17" t="s">
        <v>1134</v>
      </c>
      <c r="H138" s="17" t="str">
        <f t="shared" si="4"/>
        <v xml:space="preserve">  RO3  RO5</v>
      </c>
      <c r="I138" s="60"/>
      <c r="J138" s="60"/>
      <c r="K138" s="60" t="s">
        <v>48</v>
      </c>
      <c r="L138" s="60"/>
      <c r="M138" s="60" t="s">
        <v>31</v>
      </c>
      <c r="N138" s="57" t="s">
        <v>1135</v>
      </c>
      <c r="O138" s="57" t="s">
        <v>1136</v>
      </c>
      <c r="P138" s="57" t="s">
        <v>1137</v>
      </c>
      <c r="Q138" s="57" t="s">
        <v>1138</v>
      </c>
      <c r="R138" s="57" t="s">
        <v>1139</v>
      </c>
      <c r="S138" s="57" t="s">
        <v>1140</v>
      </c>
      <c r="T138" s="57" t="s">
        <v>1141</v>
      </c>
      <c r="U138" s="25" t="s">
        <v>1183</v>
      </c>
      <c r="V138" s="15" t="s">
        <v>1142</v>
      </c>
      <c r="W138" s="38" t="s">
        <v>1422</v>
      </c>
      <c r="X138" s="15" t="s">
        <v>1229</v>
      </c>
      <c r="Y138" t="s">
        <v>1147</v>
      </c>
      <c r="Z138" s="15" t="s">
        <v>1326</v>
      </c>
      <c r="AA138" s="38" t="s">
        <v>1427</v>
      </c>
      <c r="AB138" s="38" t="s">
        <v>1429</v>
      </c>
    </row>
    <row r="139" spans="1:28" ht="98" x14ac:dyDescent="0.2">
      <c r="A139" s="17" t="s">
        <v>1209</v>
      </c>
      <c r="B139" s="12" t="s">
        <v>1163</v>
      </c>
      <c r="C139" s="17" t="s">
        <v>1212</v>
      </c>
      <c r="D139" s="17" t="s">
        <v>1213</v>
      </c>
      <c r="E139" s="59">
        <v>2023</v>
      </c>
      <c r="F139" s="17" t="s">
        <v>1214</v>
      </c>
      <c r="G139" s="60"/>
      <c r="H139" s="60"/>
      <c r="I139" s="60"/>
      <c r="J139" s="60"/>
      <c r="K139" s="60"/>
      <c r="L139" s="60"/>
      <c r="M139" s="60"/>
      <c r="N139" s="57"/>
      <c r="O139" s="57"/>
      <c r="P139" s="57"/>
      <c r="Q139" s="57"/>
      <c r="R139" s="57"/>
      <c r="S139" s="60"/>
      <c r="T139" s="60"/>
      <c r="U139" s="31" t="s">
        <v>1151</v>
      </c>
      <c r="W139" t="s">
        <v>1227</v>
      </c>
      <c r="X139" s="15" t="s">
        <v>1230</v>
      </c>
      <c r="Y139" s="15" t="s">
        <v>1403</v>
      </c>
      <c r="Z139" s="15" t="s">
        <v>1450</v>
      </c>
      <c r="AA139" s="15" t="s">
        <v>1426</v>
      </c>
      <c r="AB139" s="15" t="s">
        <v>1431</v>
      </c>
    </row>
    <row r="140" spans="1:28" ht="56" x14ac:dyDescent="0.2">
      <c r="A140" s="17" t="s">
        <v>1210</v>
      </c>
      <c r="B140" s="12" t="s">
        <v>1163</v>
      </c>
      <c r="C140" s="17" t="s">
        <v>1215</v>
      </c>
      <c r="D140" s="17" t="s">
        <v>1216</v>
      </c>
      <c r="E140" s="59">
        <v>2026</v>
      </c>
      <c r="F140" s="17" t="s">
        <v>930</v>
      </c>
      <c r="G140" s="60"/>
      <c r="H140" s="60"/>
      <c r="I140" s="60"/>
      <c r="J140" s="60"/>
      <c r="K140" s="60"/>
      <c r="L140" s="60"/>
      <c r="M140" s="60"/>
      <c r="N140" s="57"/>
      <c r="O140" s="57"/>
      <c r="P140" s="57"/>
      <c r="Q140" s="57"/>
      <c r="R140" s="57"/>
      <c r="S140" s="60"/>
      <c r="T140" s="60"/>
      <c r="U140" s="31" t="s">
        <v>1151</v>
      </c>
      <c r="W140" t="s">
        <v>1227</v>
      </c>
      <c r="X140" s="15" t="s">
        <v>1230</v>
      </c>
      <c r="Y140" s="15" t="s">
        <v>1404</v>
      </c>
      <c r="Z140" s="15" t="s">
        <v>1451</v>
      </c>
      <c r="AA140" s="15" t="s">
        <v>1426</v>
      </c>
      <c r="AB140" s="15" t="s">
        <v>1431</v>
      </c>
    </row>
    <row r="141" spans="1:28" ht="84" x14ac:dyDescent="0.2">
      <c r="A141" s="17" t="s">
        <v>1211</v>
      </c>
      <c r="B141" s="12" t="s">
        <v>1163</v>
      </c>
      <c r="C141" s="17" t="s">
        <v>1218</v>
      </c>
      <c r="D141" s="17" t="s">
        <v>1219</v>
      </c>
      <c r="E141" s="59">
        <v>2011</v>
      </c>
      <c r="F141" s="17" t="s">
        <v>1220</v>
      </c>
      <c r="G141" s="60"/>
      <c r="H141" s="60"/>
      <c r="I141" s="60"/>
      <c r="J141" s="60"/>
      <c r="K141" s="60"/>
      <c r="L141" s="60"/>
      <c r="M141" s="60"/>
      <c r="N141" s="57"/>
      <c r="O141" s="57"/>
      <c r="P141" s="57"/>
      <c r="Q141" s="57"/>
      <c r="R141" s="57"/>
      <c r="S141" s="60"/>
      <c r="T141" s="60"/>
      <c r="U141" s="31" t="s">
        <v>1151</v>
      </c>
      <c r="W141" t="s">
        <v>1227</v>
      </c>
      <c r="X141" s="15" t="s">
        <v>1230</v>
      </c>
      <c r="Y141" s="15" t="s">
        <v>1405</v>
      </c>
      <c r="Z141" s="15" t="s">
        <v>1452</v>
      </c>
      <c r="AA141" s="15" t="s">
        <v>1426</v>
      </c>
      <c r="AB141" s="15" t="s">
        <v>1431</v>
      </c>
    </row>
    <row r="142" spans="1:28" ht="64" x14ac:dyDescent="0.2">
      <c r="A142" s="17" t="s">
        <v>1217</v>
      </c>
      <c r="B142" s="12" t="s">
        <v>1163</v>
      </c>
      <c r="C142" s="57" t="s">
        <v>1421</v>
      </c>
      <c r="D142" s="17" t="s">
        <v>1221</v>
      </c>
      <c r="E142" s="59">
        <v>2019</v>
      </c>
      <c r="F142" s="17" t="s">
        <v>46</v>
      </c>
      <c r="G142" s="60"/>
      <c r="H142" s="60"/>
      <c r="I142" s="60"/>
      <c r="J142" s="60"/>
      <c r="K142" s="60"/>
      <c r="L142" s="60"/>
      <c r="M142" s="60"/>
      <c r="N142" s="57"/>
      <c r="O142" s="57"/>
      <c r="P142" s="57"/>
      <c r="Q142" s="57"/>
      <c r="R142" s="57"/>
      <c r="S142" s="60"/>
      <c r="T142" s="60"/>
      <c r="U142" s="31" t="s">
        <v>1151</v>
      </c>
      <c r="W142" t="s">
        <v>1227</v>
      </c>
      <c r="X142" s="15" t="s">
        <v>1230</v>
      </c>
      <c r="Y142" s="15" t="s">
        <v>1406</v>
      </c>
      <c r="Z142" s="15" t="s">
        <v>1453</v>
      </c>
      <c r="AA142" s="15" t="s">
        <v>1426</v>
      </c>
      <c r="AB142" s="15" t="s">
        <v>1431</v>
      </c>
    </row>
    <row r="143" spans="1:28" ht="112" x14ac:dyDescent="0.2">
      <c r="A143" t="s">
        <v>1432</v>
      </c>
      <c r="B143" s="12" t="s">
        <v>1163</v>
      </c>
      <c r="C143" s="17" t="s">
        <v>1439</v>
      </c>
      <c r="D143" s="17" t="s">
        <v>1438</v>
      </c>
      <c r="E143" s="59">
        <v>2012</v>
      </c>
      <c r="F143" s="17" t="s">
        <v>1214</v>
      </c>
      <c r="G143" s="60"/>
      <c r="H143" s="60"/>
      <c r="I143" s="60"/>
      <c r="J143" s="60"/>
      <c r="K143" s="60"/>
      <c r="L143" s="60"/>
      <c r="M143" s="60"/>
      <c r="N143" s="57"/>
      <c r="O143" s="57"/>
      <c r="P143" s="57"/>
      <c r="Q143" s="57"/>
      <c r="R143" s="57"/>
      <c r="S143" s="60"/>
      <c r="T143" s="60"/>
      <c r="U143" s="31" t="s">
        <v>1152</v>
      </c>
      <c r="W143" s="15" t="s">
        <v>1226</v>
      </c>
      <c r="X143" s="15" t="s">
        <v>1230</v>
      </c>
      <c r="Y143" s="15" t="s">
        <v>1144</v>
      </c>
      <c r="Z143" s="15" t="s">
        <v>1454</v>
      </c>
      <c r="AA143" s="15" t="s">
        <v>1426</v>
      </c>
      <c r="AB143" s="15" t="s">
        <v>1430</v>
      </c>
    </row>
    <row r="144" spans="1:28" ht="112" x14ac:dyDescent="0.2">
      <c r="A144" t="s">
        <v>1433</v>
      </c>
      <c r="B144" s="12" t="s">
        <v>1163</v>
      </c>
      <c r="C144" s="17" t="s">
        <v>1441</v>
      </c>
      <c r="D144" s="17" t="s">
        <v>1440</v>
      </c>
      <c r="E144" s="59">
        <v>2023</v>
      </c>
      <c r="F144" s="17" t="s">
        <v>46</v>
      </c>
      <c r="G144" s="60"/>
      <c r="H144" s="60"/>
      <c r="I144" s="60"/>
      <c r="J144" s="60"/>
      <c r="K144" s="60"/>
      <c r="L144" s="60"/>
      <c r="M144" s="60"/>
      <c r="N144" s="57"/>
      <c r="O144" s="57"/>
      <c r="P144" s="57"/>
      <c r="Q144" s="57"/>
      <c r="R144" s="57"/>
      <c r="S144" s="60"/>
      <c r="T144" s="60"/>
      <c r="U144" s="31" t="s">
        <v>1152</v>
      </c>
      <c r="W144" s="15" t="s">
        <v>1226</v>
      </c>
      <c r="X144" s="15" t="s">
        <v>1230</v>
      </c>
      <c r="Y144" s="15" t="s">
        <v>1144</v>
      </c>
      <c r="Z144" s="15" t="s">
        <v>1454</v>
      </c>
      <c r="AA144" s="15" t="s">
        <v>1426</v>
      </c>
      <c r="AB144" s="15" t="s">
        <v>1430</v>
      </c>
    </row>
    <row r="145" spans="1:28" ht="80" x14ac:dyDescent="0.2">
      <c r="A145" t="s">
        <v>1434</v>
      </c>
      <c r="B145" s="12" t="s">
        <v>1163</v>
      </c>
      <c r="C145" s="17" t="s">
        <v>1443</v>
      </c>
      <c r="D145" s="17" t="s">
        <v>1442</v>
      </c>
      <c r="E145" s="59">
        <v>1981</v>
      </c>
      <c r="F145" s="17" t="s">
        <v>46</v>
      </c>
      <c r="G145" s="60"/>
      <c r="H145" s="60"/>
      <c r="I145" s="60"/>
      <c r="J145" s="60"/>
      <c r="K145" s="60"/>
      <c r="L145" s="60"/>
      <c r="M145" s="60"/>
      <c r="N145" s="57"/>
      <c r="O145" s="57"/>
      <c r="P145" s="57"/>
      <c r="Q145" s="57"/>
      <c r="R145" s="57"/>
      <c r="S145" s="60"/>
      <c r="T145" s="60"/>
      <c r="U145" s="31" t="s">
        <v>1152</v>
      </c>
      <c r="W145" s="15" t="s">
        <v>1226</v>
      </c>
      <c r="X145" s="15" t="s">
        <v>1230</v>
      </c>
      <c r="Y145" s="15" t="s">
        <v>1146</v>
      </c>
      <c r="Z145" s="15" t="s">
        <v>1454</v>
      </c>
      <c r="AA145" s="15" t="s">
        <v>1426</v>
      </c>
      <c r="AB145" s="15" t="s">
        <v>1430</v>
      </c>
    </row>
    <row r="146" spans="1:28" ht="80" x14ac:dyDescent="0.2">
      <c r="A146" t="s">
        <v>1435</v>
      </c>
      <c r="B146" s="12" t="s">
        <v>1163</v>
      </c>
      <c r="C146" s="17" t="s">
        <v>1445</v>
      </c>
      <c r="D146" s="17" t="s">
        <v>1444</v>
      </c>
      <c r="E146" s="59">
        <v>1979</v>
      </c>
      <c r="F146" s="17" t="s">
        <v>46</v>
      </c>
      <c r="G146" s="60"/>
      <c r="H146" s="60"/>
      <c r="I146" s="60"/>
      <c r="J146" s="60"/>
      <c r="K146" s="60"/>
      <c r="L146" s="60"/>
      <c r="M146" s="60"/>
      <c r="N146" s="57"/>
      <c r="O146" s="57"/>
      <c r="P146" s="57"/>
      <c r="Q146" s="57"/>
      <c r="R146" s="57"/>
      <c r="S146" s="60"/>
      <c r="T146" s="60"/>
      <c r="U146" s="31" t="s">
        <v>1152</v>
      </c>
      <c r="W146" s="15" t="s">
        <v>1226</v>
      </c>
      <c r="X146" s="15" t="s">
        <v>1230</v>
      </c>
      <c r="Y146" s="15" t="s">
        <v>1146</v>
      </c>
      <c r="Z146" s="15" t="s">
        <v>1454</v>
      </c>
      <c r="AA146" s="15" t="s">
        <v>1426</v>
      </c>
      <c r="AB146" s="15" t="s">
        <v>1430</v>
      </c>
    </row>
    <row r="147" spans="1:28" ht="182" x14ac:dyDescent="0.2">
      <c r="A147" t="s">
        <v>1436</v>
      </c>
      <c r="B147" s="12" t="s">
        <v>1163</v>
      </c>
      <c r="C147" s="17" t="s">
        <v>1447</v>
      </c>
      <c r="D147" s="17" t="s">
        <v>1446</v>
      </c>
      <c r="E147" s="59">
        <v>2022</v>
      </c>
      <c r="F147" s="17" t="s">
        <v>138</v>
      </c>
      <c r="G147" s="60"/>
      <c r="H147" s="60"/>
      <c r="I147" s="60"/>
      <c r="J147" s="60"/>
      <c r="K147" s="60"/>
      <c r="L147" s="60"/>
      <c r="M147" s="60"/>
      <c r="N147" s="57"/>
      <c r="O147" s="57"/>
      <c r="P147" s="57"/>
      <c r="Q147" s="57"/>
      <c r="R147" s="57"/>
      <c r="S147" s="60"/>
      <c r="T147" s="60"/>
      <c r="U147" s="31" t="s">
        <v>1152</v>
      </c>
      <c r="W147" s="15" t="s">
        <v>1226</v>
      </c>
      <c r="X147" s="15" t="s">
        <v>1230</v>
      </c>
      <c r="Y147" s="15" t="s">
        <v>1458</v>
      </c>
      <c r="Z147" s="15" t="s">
        <v>1454</v>
      </c>
      <c r="AA147" s="15" t="s">
        <v>1426</v>
      </c>
      <c r="AB147" s="15" t="s">
        <v>1430</v>
      </c>
    </row>
    <row r="148" spans="1:28" ht="84" x14ac:dyDescent="0.2">
      <c r="A148" t="s">
        <v>1437</v>
      </c>
      <c r="B148" s="12" t="s">
        <v>1163</v>
      </c>
      <c r="C148" s="17" t="s">
        <v>1449</v>
      </c>
      <c r="D148" s="17" t="s">
        <v>1448</v>
      </c>
      <c r="E148" s="59">
        <v>2019</v>
      </c>
      <c r="F148" s="17" t="s">
        <v>138</v>
      </c>
      <c r="G148" s="60"/>
      <c r="H148" s="60"/>
      <c r="I148" s="60"/>
      <c r="J148" s="60"/>
      <c r="K148" s="60"/>
      <c r="L148" s="60"/>
      <c r="M148" s="60"/>
      <c r="N148" s="57"/>
      <c r="O148" s="57"/>
      <c r="P148" s="57"/>
      <c r="Q148" s="57"/>
      <c r="R148" s="57"/>
      <c r="S148" s="60"/>
      <c r="T148" s="60"/>
      <c r="U148" s="31" t="s">
        <v>1152</v>
      </c>
      <c r="W148" s="15" t="s">
        <v>1226</v>
      </c>
      <c r="X148" s="15" t="s">
        <v>1230</v>
      </c>
      <c r="Y148" s="15" t="s">
        <v>1400</v>
      </c>
      <c r="Z148" s="15" t="s">
        <v>1454</v>
      </c>
      <c r="AA148" s="15" t="s">
        <v>1426</v>
      </c>
      <c r="AB148" s="15" t="s">
        <v>1430</v>
      </c>
    </row>
  </sheetData>
  <autoFilter ref="A2:AB148" xr:uid="{00000000-0001-0000-0000-000000000000}">
    <filterColumn colId="22">
      <filters>
        <filter val="Contextual support"/>
        <filter val="Eligible analytical source"/>
        <filter val="Methodology"/>
      </filters>
    </filterColumn>
    <sortState xmlns:xlrd2="http://schemas.microsoft.com/office/spreadsheetml/2017/richdata2" ref="A3:AB148">
      <sortCondition ref="A2:A148"/>
    </sortState>
  </autoFilter>
  <phoneticPr fontId="12" type="noConversion"/>
  <dataValidations count="1">
    <dataValidation type="list" allowBlank="1" showInputMessage="1" showErrorMessage="1" sqref="W36 W53 W82 W99 W113:W114 W116:W118 W120 W123 W135 W139:W142 AB3:AB142 X116:X132 AA136:AA148 X3:X45 X74:X85 X67:X72 X65 X87:X88 X135:X148 X47:X48 X50:X63 X90:X114 AA3:AA134" xr:uid="{6D77BC4F-33B9-F947-8D4E-1505BF45CCAE}">
      <formula1>#REF!</formula1>
    </dataValidation>
  </dataValidation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BE87-19E4-5B49-9B4C-2C920AA9E6FE}">
  <dimension ref="A1:B7"/>
  <sheetViews>
    <sheetView workbookViewId="0">
      <selection activeCell="A8" sqref="A8:XFD9"/>
    </sheetView>
  </sheetViews>
  <sheetFormatPr baseColWidth="10" defaultRowHeight="15" x14ac:dyDescent="0.2"/>
  <cols>
    <col min="1" max="1" width="23" bestFit="1" customWidth="1"/>
  </cols>
  <sheetData>
    <row r="1" spans="1:2" x14ac:dyDescent="0.2">
      <c r="A1" s="14" t="s">
        <v>1415</v>
      </c>
      <c r="B1" s="14" t="s">
        <v>1416</v>
      </c>
    </row>
    <row r="2" spans="1:2" x14ac:dyDescent="0.2">
      <c r="A2" t="s">
        <v>1417</v>
      </c>
      <c r="B2">
        <f>COUNTA('Evidence Matrix'!A:A)-2</f>
        <v>146</v>
      </c>
    </row>
    <row r="3" spans="1:2" ht="16" x14ac:dyDescent="0.25">
      <c r="A3" s="16" t="s">
        <v>1455</v>
      </c>
      <c r="B3">
        <f>COUNTIF('Evidence Matrix'!W:W,"Eligible analytical source")</f>
        <v>121</v>
      </c>
    </row>
    <row r="4" spans="1:2" x14ac:dyDescent="0.2">
      <c r="A4" t="s">
        <v>1226</v>
      </c>
      <c r="B4">
        <f>COUNTIF('Evidence Matrix'!W:W,"Contextual support")</f>
        <v>18</v>
      </c>
    </row>
    <row r="5" spans="1:2" x14ac:dyDescent="0.2">
      <c r="A5" t="s">
        <v>1418</v>
      </c>
      <c r="B5">
        <f>COUNTIF('Evidence Matrix'!W:W,"Methodology")</f>
        <v>4</v>
      </c>
    </row>
    <row r="6" spans="1:2" x14ac:dyDescent="0.2">
      <c r="A6" t="s">
        <v>1419</v>
      </c>
      <c r="B6">
        <f>COUNTIF('Evidence Matrix'!W:W,"Excluded")</f>
        <v>3</v>
      </c>
    </row>
    <row r="7" spans="1:2" x14ac:dyDescent="0.2">
      <c r="A7" t="s">
        <v>1420</v>
      </c>
      <c r="B7">
        <f>COUNTIF('Evidence Matrix'!W:W,"Eligible analytical source")+COUNTIF('Evidence Matrix'!W:W,"Contextual support")</f>
        <v>139</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election activeCell="G7" sqref="G7"/>
    </sheetView>
  </sheetViews>
  <sheetFormatPr baseColWidth="10" defaultColWidth="8.83203125" defaultRowHeight="15" x14ac:dyDescent="0.2"/>
  <cols>
    <col min="1" max="1" width="18" customWidth="1"/>
    <col min="2" max="2" width="55" customWidth="1"/>
    <col min="3" max="3" width="30" customWidth="1"/>
    <col min="4" max="4" width="10" customWidth="1"/>
  </cols>
  <sheetData>
    <row r="1" spans="1:4" ht="28" customHeight="1" x14ac:dyDescent="0.2">
      <c r="A1" s="65" t="s">
        <v>1457</v>
      </c>
      <c r="B1" s="66"/>
      <c r="C1" s="66"/>
      <c r="D1" s="66"/>
    </row>
    <row r="2" spans="1:4" x14ac:dyDescent="0.2">
      <c r="A2" s="10" t="s">
        <v>1153</v>
      </c>
      <c r="B2" s="10" t="s">
        <v>1154</v>
      </c>
      <c r="C2" s="10" t="s">
        <v>1155</v>
      </c>
      <c r="D2" s="10" t="s">
        <v>1156</v>
      </c>
    </row>
    <row r="3" spans="1:4" ht="16" customHeight="1" x14ac:dyDescent="0.2">
      <c r="A3" s="2" t="s">
        <v>23</v>
      </c>
      <c r="B3" s="11" t="s">
        <v>1157</v>
      </c>
      <c r="C3" s="11" t="s">
        <v>1158</v>
      </c>
      <c r="D3" s="11">
        <f>COUNTIF('Evidence Matrix'!$B$3:$B$148,A3)</f>
        <v>16</v>
      </c>
    </row>
    <row r="4" spans="1:4" ht="16" customHeight="1" x14ac:dyDescent="0.2">
      <c r="A4" s="6" t="s">
        <v>42</v>
      </c>
      <c r="B4" s="11" t="s">
        <v>1159</v>
      </c>
      <c r="C4" s="11" t="s">
        <v>1160</v>
      </c>
      <c r="D4" s="11">
        <f>COUNTIF('Evidence Matrix'!$B$3:$B$148,A4)</f>
        <v>22</v>
      </c>
    </row>
    <row r="5" spans="1:4" ht="16" customHeight="1" x14ac:dyDescent="0.2">
      <c r="A5" s="7" t="s">
        <v>72</v>
      </c>
      <c r="B5" s="11" t="s">
        <v>1161</v>
      </c>
      <c r="C5" s="11" t="s">
        <v>1162</v>
      </c>
      <c r="D5" s="11">
        <f>COUNTIF('Evidence Matrix'!$B$3:$B$148,A5)</f>
        <v>63</v>
      </c>
    </row>
    <row r="6" spans="1:4" ht="16" customHeight="1" x14ac:dyDescent="0.2">
      <c r="A6" s="12" t="s">
        <v>1163</v>
      </c>
      <c r="B6" s="11" t="s">
        <v>1164</v>
      </c>
      <c r="C6" s="11" t="s">
        <v>1165</v>
      </c>
      <c r="D6" s="11">
        <f>COUNTIF('Evidence Matrix'!$B$3:$B$148,A6)</f>
        <v>45</v>
      </c>
    </row>
    <row r="7" spans="1:4" x14ac:dyDescent="0.2">
      <c r="D7">
        <f>SUM(D3:D6)</f>
        <v>146</v>
      </c>
    </row>
    <row r="8" spans="1:4" ht="8" customHeight="1" x14ac:dyDescent="0.2"/>
    <row r="9" spans="1:4" ht="8" customHeight="1" x14ac:dyDescent="0.2"/>
    <row r="10" spans="1:4" x14ac:dyDescent="0.2">
      <c r="A10" s="67" t="s">
        <v>1166</v>
      </c>
      <c r="B10" s="66"/>
      <c r="C10" s="66"/>
      <c r="D10" s="66"/>
    </row>
    <row r="11" spans="1:4" ht="30" customHeight="1" x14ac:dyDescent="0.2">
      <c r="A11" s="13" t="s">
        <v>28</v>
      </c>
      <c r="B11" s="68" t="s">
        <v>1167</v>
      </c>
      <c r="C11" s="69"/>
      <c r="D11" s="70"/>
    </row>
    <row r="12" spans="1:4" ht="30" customHeight="1" x14ac:dyDescent="0.2">
      <c r="A12" s="13" t="s">
        <v>29</v>
      </c>
      <c r="B12" s="68" t="s">
        <v>1168</v>
      </c>
      <c r="C12" s="69"/>
      <c r="D12" s="70"/>
    </row>
    <row r="13" spans="1:4" ht="30" customHeight="1" x14ac:dyDescent="0.2">
      <c r="A13" s="13" t="s">
        <v>48</v>
      </c>
      <c r="B13" s="68" t="s">
        <v>1169</v>
      </c>
      <c r="C13" s="69"/>
      <c r="D13" s="70"/>
    </row>
    <row r="14" spans="1:4" ht="30" customHeight="1" x14ac:dyDescent="0.2">
      <c r="A14" s="13" t="s">
        <v>30</v>
      </c>
      <c r="B14" s="68" t="s">
        <v>1170</v>
      </c>
      <c r="C14" s="69"/>
      <c r="D14" s="70"/>
    </row>
    <row r="15" spans="1:4" ht="30" customHeight="1" x14ac:dyDescent="0.2">
      <c r="A15" s="13" t="s">
        <v>31</v>
      </c>
      <c r="B15" s="68" t="s">
        <v>1171</v>
      </c>
      <c r="C15" s="69"/>
      <c r="D15" s="70"/>
    </row>
  </sheetData>
  <mergeCells count="7">
    <mergeCell ref="A1:D1"/>
    <mergeCell ref="A10:D10"/>
    <mergeCell ref="B12:D12"/>
    <mergeCell ref="B15:D15"/>
    <mergeCell ref="B11:D11"/>
    <mergeCell ref="B14:D14"/>
    <mergeCell ref="B13:D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Evidence Matrix</vt:lpstr>
      <vt:lpstr>Corpus Audit Summary</vt:lpstr>
      <vt:lpstr>Priority &amp; Theme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MONTOYA BIONDI, MARIANN (PGT)</cp:lastModifiedBy>
  <dcterms:created xsi:type="dcterms:W3CDTF">2026-06-30T14:42:22Z</dcterms:created>
  <dcterms:modified xsi:type="dcterms:W3CDTF">2026-08-28T08:16:01Z</dcterms:modified>
</cp:coreProperties>
</file>